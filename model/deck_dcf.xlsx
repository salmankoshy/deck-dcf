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1eb4a3cb7cf89d/Desktop/DECK DCF/model/"/>
    </mc:Choice>
  </mc:AlternateContent>
  <xr:revisionPtr revIDLastSave="0" documentId="11_CE1AEF93266C7E3A3DBAFB3E63A83F832CB45FC7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Cover" sheetId="1" r:id="rId1"/>
    <sheet name="Assumptions" sheetId="2" r:id="rId2"/>
    <sheet name="Historical" sheetId="3" r:id="rId3"/>
    <sheet name="WACC" sheetId="4" r:id="rId4"/>
    <sheet name="DCF" sheetId="5" r:id="rId5"/>
    <sheet name="Sensitivity" sheetId="6" r:id="rId6"/>
    <sheet name="Comps" sheetId="7" r:id="rId7"/>
    <sheet name="MC" sheetId="8" r:id="rId8"/>
  </sheets>
  <definedNames>
    <definedName name="base_year">Assumptions!$B$7</definedName>
    <definedName name="beta">Assumptions!$B$25</definedName>
    <definedName name="beta_2y_blume">Assumptions!$B$54</definedName>
    <definedName name="beta_2y_raw">Assumptions!$B$53</definedName>
    <definedName name="beta_5y_blume">Assumptions!$B$52</definedName>
    <definedName name="beta_5y_raw">Assumptions!$B$51</definedName>
    <definedName name="beta_operating">WACC!$B$24</definedName>
    <definedName name="beta_regression_crosscheck">Assumptions!$B$26</definedName>
    <definedName name="capex_pct">Assumptions!$B$21</definedName>
    <definedName name="capex_pct_rev">Assumptions!$B$21</definedName>
    <definedName name="cash">Assumptions!$B$11</definedName>
    <definedName name="company">Assumptions!$B$4</definedName>
    <definedName name="comps">Assumptions!$B$41</definedName>
    <definedName name="comps_med">Comps!$B$13</definedName>
    <definedName name="comps_med_ex_ifrs">Comps!$B$29</definedName>
    <definedName name="comps_q1">Comps!$B$12</definedName>
    <definedName name="comps_q3">Comps!$B$14</definedName>
    <definedName name="cost_debt_pretax">Assumptions!$B$29</definedName>
    <definedName name="cost_equity">Assumptions!$B$28</definedName>
    <definedName name="cross_check_flags">DCF!$B$67</definedName>
    <definedName name="da_pct">Assumptions!$B$20</definedName>
    <definedName name="da_pct_rev">Assumptions!$B$20</definedName>
    <definedName name="debt">Assumptions!$B$12</definedName>
    <definedName name="deck_ev_ebitda">Comps!$B$28</definedName>
    <definedName name="deck_ev_ebitda_10y_median_gurufocus">Comps!$B$33</definedName>
    <definedName name="deck_ev_ebitda_gurufocus">Comps!$B$32</definedName>
    <definedName name="deck_ev_ebitda_stockanalysis">Comps!$B$31</definedName>
    <definedName name="ebit_margin">Assumptions!$B$19</definedName>
    <definedName name="erp">Assumptions!$B$27</definedName>
    <definedName name="ev_exit">DCF!$C$30</definedName>
    <definedName name="ev_perp">DCF!$B$30</definedName>
    <definedName name="exit_mult">Assumptions!$B$33</definedName>
    <definedName name="exit_multiple_ev_ebitda">Assumptions!$B$33</definedName>
    <definedName name="ff_base_dcf">Comps!$B$44</definedName>
    <definedName name="ff_comps_hi">Comps!$C$40</definedName>
    <definedName name="ff_comps_lo">Comps!$B$40</definedName>
    <definedName name="ff_dcf_exit_hi">Comps!$C$38</definedName>
    <definedName name="ff_dcf_exit_lo">Comps!$B$38</definedName>
    <definedName name="ff_dcf_perp_hi">Comps!$C$37</definedName>
    <definedName name="ff_dcf_perp_lo">Comps!$B$37</definedName>
    <definedName name="ff_mc_hi">Comps!$C$39</definedName>
    <definedName name="ff_mc_lo">Comps!$B$39</definedName>
    <definedName name="ff_price">Comps!$B$45</definedName>
    <definedName name="ff_pt_hi">Comps!$C$41</definedName>
    <definedName name="ff_pt_lo">Comps!$B$41</definedName>
    <definedName name="ff_w52_hi">Comps!$C$42</definedName>
    <definedName name="ff_w52_lo">Comps!$B$42</definedName>
    <definedName name="fye">Assumptions!$B$6</definedName>
    <definedName name="g_exit_at_ronic">DCF!$B$48</definedName>
    <definedName name="g_fy27">Assumptions!$B$14</definedName>
    <definedName name="g_fy28">Assumptions!$B$15</definedName>
    <definedName name="g_fy29">Assumptions!$B$16</definedName>
    <definedName name="g_fy30">Assumptions!$B$17</definedName>
    <definedName name="g_fy31">Assumptions!$B$18</definedName>
    <definedName name="implied_ev_fy27_ebitda">DCF!$B$66</definedName>
    <definedName name="implied_ev_ltm_ebitda">DCF!$B$65</definedName>
    <definedName name="implied_margin">DCF!$B$43</definedName>
    <definedName name="implied_margin_probe_hi">Assumptions!$B$46</definedName>
    <definedName name="implied_margin_probe_lo">Assumptions!$B$45</definedName>
    <definedName name="integrity_summary">DCF!$D$57</definedName>
    <definedName name="kd_pretax">Assumptions!$B$29</definedName>
    <definedName name="ke_calc">WACC!$B$11</definedName>
    <definedName name="ke_operating">WACC!$B$25</definedName>
    <definedName name="lease_liabilities_total">Assumptions!$B$13</definedName>
    <definedName name="ltm_da">Historical!$E$41</definedName>
    <definedName name="ltm_ebit">Historical!$E$40</definedName>
    <definedName name="ltm_ebitda">Historical!$E$42</definedName>
    <definedName name="mc_g_tri">Assumptions!$B$39</definedName>
    <definedName name="mc_growth_tri">Assumptions!$B$36</definedName>
    <definedName name="mc_guardrail_wacc_minus_g_min">Assumptions!$B$40</definedName>
    <definedName name="mc_margin_tri">Assumptions!$B$37</definedName>
    <definedName name="mc_price_check">MC!$C$44</definedName>
    <definedName name="mc_price_diff">MC!$B$44</definedName>
    <definedName name="mc_recon_check">MC!$C$43</definedName>
    <definedName name="mc_recon_diff">MC!$B$43</definedName>
    <definedName name="mc_runs">Assumptions!$B$34</definedName>
    <definedName name="mc_seed">Assumptions!$B$35</definedName>
    <definedName name="mc_wacc_normal">Assumptions!$B$38</definedName>
    <definedName name="nwc_pct">Assumptions!$B$22</definedName>
    <definedName name="nwc_pct_rev">Assumptions!$B$22</definedName>
    <definedName name="price">Assumptions!$B$8</definedName>
    <definedName name="price_date">Assumptions!$B$9</definedName>
    <definedName name="price_exit">DCF!$C$35</definedName>
    <definedName name="price_perp">DCF!$B$35</definedName>
    <definedName name="px_at_implied_margin">DCF!$B$52</definedName>
    <definedName name="px_at_ke_operating">WACC!$B$27</definedName>
    <definedName name="px_at_ronic">DCF!$B$47</definedName>
    <definedName name="px_comps_med">Comps!$C$26</definedName>
    <definedName name="px_comps_q1">Comps!$B$26</definedName>
    <definedName name="px_comps_q3">Comps!$D$26</definedName>
    <definedName name="px_exit_at_current_mult">Comps!$B$30</definedName>
    <definedName name="rev_growth_fy27">Assumptions!$B$14</definedName>
    <definedName name="rev_growth_fy28">Assumptions!$B$15</definedName>
    <definedName name="rev_growth_fy29">Assumptions!$B$16</definedName>
    <definedName name="rev_growth_fy30">Assumptions!$B$17</definedName>
    <definedName name="rev_growth_fy31">Assumptions!$B$18</definedName>
    <definedName name="rf">Assumptions!$B$24</definedName>
    <definedName name="roic_fy26">Historical!$F$35</definedName>
    <definedName name="roic_fy26_ex_leases">Historical!$F$36</definedName>
    <definedName name="ronic">Assumptions!$B$47</definedName>
    <definedName name="ronic_implied">DCF!$B$46</definedName>
    <definedName name="sens_check_exit">Sensitivity!$C$24</definedName>
    <definedName name="sens_check_perp">Sensitivity!$C$13</definedName>
    <definedName name="sens_diff_exit">Sensitivity!$B$24</definedName>
    <definedName name="sens_diff_perp">Sensitivity!$B$13</definedName>
    <definedName name="sens_g_step">Assumptions!$B$43</definedName>
    <definedName name="sens_mult_step">Assumptions!$B$44</definedName>
    <definedName name="sens_wacc_step">Assumptions!$B$42</definedName>
    <definedName name="shares">Assumptions!$B$10</definedName>
    <definedName name="shares_diluted_current">Assumptions!$B$10</definedName>
    <definedName name="tax">Assumptions!$B$23</definedName>
    <definedName name="tax_rate">Assumptions!$B$23</definedName>
    <definedName name="terminal_growth">Assumptions!$B$32</definedName>
    <definedName name="tg">Assumptions!$B$32</definedName>
    <definedName name="ticker">Assumptions!$B$5</definedName>
    <definedName name="upside_exit">DCF!$C$37</definedName>
    <definedName name="upside_perp">DCF!$B$37</definedName>
    <definedName name="wacc">Assumptions!$B$31</definedName>
    <definedName name="wacc_calc">WACC!$B$22</definedName>
    <definedName name="wacc_operating">WACC!$B$26</definedName>
    <definedName name="we_input">Assumptions!$B$30</definedName>
    <definedName name="weight_equity">Assumptions!$B$30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8" l="1"/>
  <c r="B45" i="7"/>
  <c r="C39" i="7"/>
  <c r="B39" i="7"/>
  <c r="B29" i="7"/>
  <c r="D25" i="7"/>
  <c r="C25" i="7"/>
  <c r="B25" i="7"/>
  <c r="D23" i="7"/>
  <c r="C23" i="7"/>
  <c r="B23" i="7"/>
  <c r="D22" i="7"/>
  <c r="C22" i="7"/>
  <c r="B22" i="7"/>
  <c r="B15" i="7"/>
  <c r="B14" i="7"/>
  <c r="D19" i="7" s="1"/>
  <c r="B13" i="7"/>
  <c r="B12" i="7"/>
  <c r="B19" i="7" s="1"/>
  <c r="B11" i="7"/>
  <c r="G17" i="6"/>
  <c r="F17" i="6"/>
  <c r="E17" i="6"/>
  <c r="D17" i="6"/>
  <c r="C17" i="6"/>
  <c r="G6" i="6"/>
  <c r="F6" i="6"/>
  <c r="E6" i="6"/>
  <c r="D6" i="6"/>
  <c r="C6" i="6"/>
  <c r="C36" i="5"/>
  <c r="B36" i="5"/>
  <c r="C34" i="5"/>
  <c r="B34" i="5"/>
  <c r="C32" i="5"/>
  <c r="B32" i="5"/>
  <c r="C31" i="5"/>
  <c r="B31" i="5"/>
  <c r="G19" i="5"/>
  <c r="G20" i="5" s="1"/>
  <c r="F19" i="5"/>
  <c r="F20" i="5" s="1"/>
  <c r="F21" i="5" s="1"/>
  <c r="E19" i="5"/>
  <c r="E20" i="5" s="1"/>
  <c r="E21" i="5" s="1"/>
  <c r="D19" i="5"/>
  <c r="D20" i="5" s="1"/>
  <c r="D21" i="5" s="1"/>
  <c r="C19" i="5"/>
  <c r="C20" i="5" s="1"/>
  <c r="C21" i="5" s="1"/>
  <c r="B19" i="5"/>
  <c r="B20" i="5" s="1"/>
  <c r="B10" i="5"/>
  <c r="B9" i="5"/>
  <c r="B6" i="5"/>
  <c r="B14" i="5" s="1"/>
  <c r="G5" i="5"/>
  <c r="F5" i="5"/>
  <c r="E5" i="5"/>
  <c r="D5" i="5"/>
  <c r="C5" i="5"/>
  <c r="B4" i="5"/>
  <c r="G3" i="5"/>
  <c r="F3" i="5"/>
  <c r="E3" i="5"/>
  <c r="D3" i="5"/>
  <c r="C3" i="5"/>
  <c r="B18" i="4"/>
  <c r="B16" i="4"/>
  <c r="B15" i="4"/>
  <c r="B17" i="4" s="1"/>
  <c r="B13" i="4"/>
  <c r="B12" i="4"/>
  <c r="B14" i="4" s="1"/>
  <c r="B10" i="4"/>
  <c r="B9" i="4"/>
  <c r="B8" i="4"/>
  <c r="B7" i="4"/>
  <c r="B6" i="4"/>
  <c r="B24" i="4" s="1"/>
  <c r="B5" i="4"/>
  <c r="B4" i="4"/>
  <c r="D42" i="3"/>
  <c r="C42" i="3"/>
  <c r="B41" i="3"/>
  <c r="E41" i="3" s="1"/>
  <c r="B40" i="3"/>
  <c r="F36" i="3"/>
  <c r="F35" i="3"/>
  <c r="F34" i="3"/>
  <c r="E34" i="3"/>
  <c r="D34" i="3"/>
  <c r="C34" i="3"/>
  <c r="B34" i="3"/>
  <c r="F33" i="3"/>
  <c r="E33" i="3"/>
  <c r="D33" i="3"/>
  <c r="C33" i="3"/>
  <c r="B33" i="3"/>
  <c r="F31" i="3"/>
  <c r="E31" i="3"/>
  <c r="E32" i="3" s="1"/>
  <c r="D31" i="3"/>
  <c r="D32" i="3" s="1"/>
  <c r="C31" i="3"/>
  <c r="C32" i="3" s="1"/>
  <c r="B31" i="3"/>
  <c r="B32" i="3" s="1"/>
  <c r="F30" i="3"/>
  <c r="E30" i="3"/>
  <c r="D30" i="3"/>
  <c r="C30" i="3"/>
  <c r="B30" i="3"/>
  <c r="F29" i="3"/>
  <c r="E29" i="3"/>
  <c r="D29" i="3"/>
  <c r="C29" i="3"/>
  <c r="B29" i="3"/>
  <c r="F28" i="3"/>
  <c r="E28" i="3"/>
  <c r="D28" i="3"/>
  <c r="C28" i="3"/>
  <c r="B28" i="3"/>
  <c r="F27" i="3"/>
  <c r="E27" i="3"/>
  <c r="D27" i="3"/>
  <c r="C27" i="3"/>
  <c r="B27" i="3"/>
  <c r="F26" i="3"/>
  <c r="B3" i="5" s="1"/>
  <c r="E26" i="3"/>
  <c r="D26" i="3"/>
  <c r="C26" i="3"/>
  <c r="B26" i="2"/>
  <c r="B8" i="1"/>
  <c r="B7" i="1"/>
  <c r="B6" i="1"/>
  <c r="B5" i="1"/>
  <c r="B4" i="1"/>
  <c r="B3" i="1"/>
  <c r="C44" i="8" l="1"/>
  <c r="D56" i="5" s="1"/>
  <c r="B56" i="5"/>
  <c r="C19" i="7"/>
  <c r="G21" i="5"/>
  <c r="B27" i="5" s="1"/>
  <c r="C27" i="5"/>
  <c r="B5" i="5"/>
  <c r="C4" i="5"/>
  <c r="B19" i="4"/>
  <c r="B21" i="4" s="1"/>
  <c r="B20" i="4"/>
  <c r="B30" i="2" s="1"/>
  <c r="B25" i="4"/>
  <c r="B26" i="4" s="1"/>
  <c r="B23" i="4"/>
  <c r="B11" i="4"/>
  <c r="B42" i="3"/>
  <c r="E40" i="3"/>
  <c r="E42" i="3" s="1"/>
  <c r="F32" i="3"/>
  <c r="B11" i="5"/>
  <c r="D4" i="5" l="1"/>
  <c r="C6" i="5"/>
  <c r="C9" i="5"/>
  <c r="C10" i="5"/>
  <c r="C11" i="5"/>
  <c r="C12" i="5" s="1"/>
  <c r="B22" i="4"/>
  <c r="B28" i="2"/>
  <c r="B20" i="7"/>
  <c r="B21" i="7" s="1"/>
  <c r="B24" i="7" s="1"/>
  <c r="B26" i="7" s="1"/>
  <c r="B40" i="7" s="1"/>
  <c r="C20" i="7"/>
  <c r="C21" i="7" s="1"/>
  <c r="C24" i="7" s="1"/>
  <c r="C26" i="7" s="1"/>
  <c r="D20" i="7"/>
  <c r="D21" i="7" s="1"/>
  <c r="D24" i="7" s="1"/>
  <c r="D26" i="7" s="1"/>
  <c r="C40" i="7" s="1"/>
  <c r="B28" i="7"/>
  <c r="C65" i="5" s="1"/>
  <c r="E4" i="5" l="1"/>
  <c r="D6" i="5"/>
  <c r="D9" i="5"/>
  <c r="D10" i="5"/>
  <c r="D11" i="5"/>
  <c r="D12" i="5" s="1"/>
  <c r="C7" i="5"/>
  <c r="C8" i="5"/>
  <c r="C13" i="5" s="1"/>
  <c r="C14" i="5"/>
  <c r="C22" i="5"/>
  <c r="B51" i="5" s="1"/>
  <c r="D51" i="5" s="1"/>
  <c r="D22" i="5"/>
  <c r="E22" i="5"/>
  <c r="F22" i="5"/>
  <c r="G22" i="5"/>
  <c r="B7" i="6"/>
  <c r="B8" i="6"/>
  <c r="B9" i="6"/>
  <c r="B10" i="6"/>
  <c r="B11" i="6"/>
  <c r="B18" i="6"/>
  <c r="B19" i="6"/>
  <c r="B20" i="6"/>
  <c r="B21" i="6"/>
  <c r="B22" i="6"/>
  <c r="B9" i="1"/>
  <c r="B31" i="2"/>
  <c r="F4" i="5" l="1"/>
  <c r="E6" i="5"/>
  <c r="E9" i="5"/>
  <c r="E10" i="5"/>
  <c r="E11" i="5"/>
  <c r="E12" i="5" s="1"/>
  <c r="D7" i="5"/>
  <c r="D8" i="5"/>
  <c r="D13" i="5" s="1"/>
  <c r="D23" i="5" s="1"/>
  <c r="D14" i="5"/>
  <c r="C23" i="5"/>
  <c r="G4" i="5" l="1"/>
  <c r="F6" i="5"/>
  <c r="F9" i="5"/>
  <c r="F10" i="5"/>
  <c r="F11" i="5"/>
  <c r="F12" i="5" s="1"/>
  <c r="E7" i="5"/>
  <c r="E8" i="5"/>
  <c r="E13" i="5" s="1"/>
  <c r="E14" i="5"/>
  <c r="G6" i="5" l="1"/>
  <c r="G9" i="5"/>
  <c r="G10" i="5"/>
  <c r="G11" i="5"/>
  <c r="G12" i="5" s="1"/>
  <c r="F7" i="5"/>
  <c r="F8" i="5" s="1"/>
  <c r="F13" i="5" s="1"/>
  <c r="F14" i="5"/>
  <c r="B42" i="5"/>
  <c r="B41" i="5"/>
  <c r="E23" i="5"/>
  <c r="B43" i="5" l="1"/>
  <c r="B52" i="5" s="1"/>
  <c r="D52" i="5" s="1"/>
  <c r="G7" i="5"/>
  <c r="G8" i="5"/>
  <c r="G14" i="5"/>
  <c r="C26" i="5" s="1"/>
  <c r="F23" i="5"/>
  <c r="G13" i="5" l="1"/>
  <c r="B62" i="5" s="1"/>
  <c r="D62" i="5" s="1"/>
  <c r="B46" i="5"/>
  <c r="B48" i="5"/>
  <c r="C28" i="5"/>
  <c r="C7" i="6" l="1"/>
  <c r="D7" i="6"/>
  <c r="E7" i="6"/>
  <c r="F7" i="6"/>
  <c r="G7" i="6"/>
  <c r="G9" i="6"/>
  <c r="C8" i="6"/>
  <c r="G21" i="6"/>
  <c r="D10" i="6"/>
  <c r="E10" i="6"/>
  <c r="F18" i="6"/>
  <c r="D19" i="6"/>
  <c r="G19" i="6"/>
  <c r="E20" i="6"/>
  <c r="D8" i="6"/>
  <c r="E8" i="6"/>
  <c r="F8" i="6"/>
  <c r="G8" i="6"/>
  <c r="C9" i="6"/>
  <c r="D9" i="6"/>
  <c r="F9" i="6"/>
  <c r="C10" i="6"/>
  <c r="D18" i="6"/>
  <c r="G18" i="6"/>
  <c r="E19" i="6"/>
  <c r="C20" i="6"/>
  <c r="G10" i="6"/>
  <c r="B47" i="5"/>
  <c r="D11" i="6"/>
  <c r="F11" i="6"/>
  <c r="C18" i="6"/>
  <c r="E18" i="6"/>
  <c r="C19" i="6"/>
  <c r="F19" i="6"/>
  <c r="D20" i="6"/>
  <c r="F20" i="6"/>
  <c r="G20" i="6"/>
  <c r="D21" i="6"/>
  <c r="F21" i="6"/>
  <c r="D22" i="6"/>
  <c r="F22" i="6"/>
  <c r="G22" i="6"/>
  <c r="C21" i="6"/>
  <c r="E21" i="6"/>
  <c r="F10" i="6"/>
  <c r="B30" i="7"/>
  <c r="C11" i="6"/>
  <c r="E11" i="6"/>
  <c r="G11" i="6"/>
  <c r="C22" i="6"/>
  <c r="E22" i="6"/>
  <c r="B27" i="4"/>
  <c r="E9" i="6"/>
  <c r="B64" i="5"/>
  <c r="D64" i="5" s="1"/>
  <c r="G23" i="5"/>
  <c r="B26" i="5"/>
  <c r="C38" i="7" l="1"/>
  <c r="B38" i="7"/>
  <c r="B37" i="7"/>
  <c r="C37" i="7"/>
  <c r="B29" i="5"/>
  <c r="B30" i="5" s="1"/>
  <c r="C29" i="5"/>
  <c r="C30" i="5" s="1"/>
  <c r="B28" i="5"/>
  <c r="B61" i="5"/>
  <c r="D61" i="5" s="1"/>
  <c r="B33" i="5" l="1"/>
  <c r="B35" i="5" s="1"/>
  <c r="B66" i="5"/>
  <c r="B65" i="5"/>
  <c r="C38" i="5"/>
  <c r="C33" i="5"/>
  <c r="C35" i="5" s="1"/>
  <c r="B38" i="5"/>
  <c r="B60" i="5" s="1"/>
  <c r="D60" i="5" s="1"/>
  <c r="B13" i="6" l="1"/>
  <c r="B37" i="5"/>
  <c r="B12" i="1" s="1"/>
  <c r="B44" i="7"/>
  <c r="B42" i="8"/>
  <c r="B43" i="8" s="1"/>
  <c r="B10" i="1"/>
  <c r="B63" i="5"/>
  <c r="D63" i="5" s="1"/>
  <c r="B67" i="5" s="1"/>
  <c r="B15" i="1" s="1"/>
  <c r="B24" i="6"/>
  <c r="C37" i="5"/>
  <c r="B13" i="1" s="1"/>
  <c r="B11" i="1"/>
  <c r="B53" i="5" l="1"/>
  <c r="C13" i="6"/>
  <c r="D53" i="5" s="1"/>
  <c r="C43" i="8"/>
  <c r="D55" i="5" s="1"/>
  <c r="B55" i="5"/>
  <c r="B54" i="5"/>
  <c r="C24" i="6"/>
  <c r="D54" i="5" s="1"/>
  <c r="D57" i="5" l="1"/>
  <c r="B14" i="1" s="1"/>
</calcChain>
</file>

<file path=xl/sharedStrings.xml><?xml version="1.0" encoding="utf-8"?>
<sst xmlns="http://schemas.openxmlformats.org/spreadsheetml/2006/main" count="627" uniqueCount="441">
  <si>
    <t>Deckers Outdoor Corporation (DECK): DCF valuation</t>
  </si>
  <si>
    <t>Company</t>
  </si>
  <si>
    <t>Ticker</t>
  </si>
  <si>
    <t>Base fiscal year</t>
  </si>
  <si>
    <t>Price date</t>
  </si>
  <si>
    <t>Current share price ($)</t>
  </si>
  <si>
    <t>Diluted shares (count)</t>
  </si>
  <si>
    <t>WACC (live formula, WACC tab)</t>
  </si>
  <si>
    <t>Implied price, perpetuity method ($)</t>
  </si>
  <si>
    <t>Implied price, exit multiple method ($)</t>
  </si>
  <si>
    <t>Upside, perpetuity</t>
  </si>
  <si>
    <t>Upside, exit multiple</t>
  </si>
  <si>
    <t>Integrity checks</t>
  </si>
  <si>
    <t>Cross-checks outside reference range</t>
  </si>
  <si>
    <t>Color key: blue = hardcoded input (Assumptions / Historical / Comps inputs), black = same-sheet formula, green = cross-sheet link.</t>
  </si>
  <si>
    <t>Units: $ thousands throughout except price per share ($) and share counts (count).</t>
  </si>
  <si>
    <t>Assumptions: all rows from inputs/assumptions.csv (blue = hardcoded input)</t>
  </si>
  <si>
    <t>key</t>
  </si>
  <si>
    <t>value</t>
  </si>
  <si>
    <t>unit</t>
  </si>
  <si>
    <t>source</t>
  </si>
  <si>
    <t>status</t>
  </si>
  <si>
    <t>company</t>
  </si>
  <si>
    <t>Deckers Outdoor Corp</t>
  </si>
  <si>
    <t>text</t>
  </si>
  <si>
    <t>10-K</t>
  </si>
  <si>
    <t>input</t>
  </si>
  <si>
    <t>ticker</t>
  </si>
  <si>
    <t>DECK</t>
  </si>
  <si>
    <t>NYSE</t>
  </si>
  <si>
    <t>fye</t>
  </si>
  <si>
    <t>03-31</t>
  </si>
  <si>
    <t>date</t>
  </si>
  <si>
    <t>base_year</t>
  </si>
  <si>
    <t>FY2026</t>
  </si>
  <si>
    <t>price</t>
  </si>
  <si>
    <t>USD</t>
  </si>
  <si>
    <t>close 2026-09-21 Google Finance</t>
  </si>
  <si>
    <t>price_date</t>
  </si>
  <si>
    <t>2026-09-21</t>
  </si>
  <si>
    <t>Google Finance</t>
  </si>
  <si>
    <t>shares_diluted_current</t>
  </si>
  <si>
    <t>shares</t>
  </si>
  <si>
    <t>10-Q cover 136,414,227 basic as of 2026-07-09 + 296K dilutive effect of equity awards, 10-Q Note 9</t>
  </si>
  <si>
    <t>cash</t>
  </si>
  <si>
    <t>USD thousands</t>
  </si>
  <si>
    <t>10-Q Q1 FY27 balance sheet 1,602,589 at 2026-06-30 less 32,168 repurchased through 2026-07-09 per 10-Q subsequent events, to match the Jul 9 share count</t>
  </si>
  <si>
    <t>debt</t>
  </si>
  <si>
    <t>lease_liabilities_total</t>
  </si>
  <si>
    <t>10-K FY2026</t>
  </si>
  <si>
    <t>excluded from bridge (lease cost in EBIT)</t>
  </si>
  <si>
    <t>rev_growth_fy27</t>
  </si>
  <si>
    <t>pct</t>
  </si>
  <si>
    <t>FY27 guide midpoint 5.885B / FY26 net sales 5,472,296</t>
  </si>
  <si>
    <t>rev_growth_fy28</t>
  </si>
  <si>
    <t>decay</t>
  </si>
  <si>
    <t>rev_growth_fy29</t>
  </si>
  <si>
    <t>rev_growth_fy30</t>
  </si>
  <si>
    <t>rev_growth_fy31</t>
  </si>
  <si>
    <t>ebit_margin</t>
  </si>
  <si>
    <t>FY27 guidance ~21.5%</t>
  </si>
  <si>
    <t>da_pct_rev</t>
  </si>
  <si>
    <t>FY26 10-K cash flow: Depreciation, amortization, and accretion 75,773 / Net sales 5,472,296 = 1.38%</t>
  </si>
  <si>
    <t>capex_pct_rev</t>
  </si>
  <si>
    <t>FY26 10-K cash flow: Purchases of property and equipment 84,623 / Net sales 5,472,296 = 1.55%</t>
  </si>
  <si>
    <t>nwc_pct_rev</t>
  </si>
  <si>
    <t>FY26 10-K balance sheet: (Trade AR 318,978 + Inventories 487,018 - Trade AP 384,529) / Net sales 5,472,296 = 7.70%</t>
  </si>
  <si>
    <t>tax_rate</t>
  </si>
  <si>
    <t>FY27 guidance</t>
  </si>
  <si>
    <t>rf</t>
  </si>
  <si>
    <t>FRED DGS10 2026-09-18 5.01%, rounded to 5.00%</t>
  </si>
  <si>
    <t>beta</t>
  </si>
  <si>
    <t>x</t>
  </si>
  <si>
    <t>Damodaran Shoe Jan 2026 cash-corrected unlevered; DECK ~0 debt</t>
  </si>
  <si>
    <t>beta_regression_crosscheck</t>
  </si>
  <si>
    <t>yfinance DECK vs SPY 5Y monthly raw, Blume 1.0662, R2 0.19, inputs/beta.csv</t>
  </si>
  <si>
    <t>formula</t>
  </si>
  <si>
    <t>erp</t>
  </si>
  <si>
    <t>Damodaran implied ERP start-2026; Sept 2026 not published</t>
  </si>
  <si>
    <t>cost_equity</t>
  </si>
  <si>
    <t>CAPM</t>
  </si>
  <si>
    <t>cost_debt_pretax</t>
  </si>
  <si>
    <t>5.60% used; synthetic AAA estimate 5.40% (Rf 5.00% + 0.40% spread, Damodaran Jan 2026); zero weight in WACC because debt = 0</t>
  </si>
  <si>
    <t>weight_equity</t>
  </si>
  <si>
    <t>no debt</t>
  </si>
  <si>
    <t>wacc</t>
  </si>
  <si>
    <t>formula: = cost_equity x weight_equity; debt weight 0</t>
  </si>
  <si>
    <t>terminal_growth</t>
  </si>
  <si>
    <t>below nominal GDP and Rf</t>
  </si>
  <si>
    <t>exit_multiple_ev_ebitda</t>
  </si>
  <si>
    <t>below 13.49x 10Y median above 7.62x current</t>
  </si>
  <si>
    <t>mc_runs</t>
  </si>
  <si>
    <t>n</t>
  </si>
  <si>
    <t>practitioner standard</t>
  </si>
  <si>
    <t>mc_seed</t>
  </si>
  <si>
    <t>reproducibility</t>
  </si>
  <si>
    <t>mc_growth_tri</t>
  </si>
  <si>
    <t>3,6,9</t>
  </si>
  <si>
    <t>mode 6% = average of the FY27 to FY31 growth path; range +/-3pp</t>
  </si>
  <si>
    <t>mc_margin_tri</t>
  </si>
  <si>
    <t>18,21.5,24</t>
  </si>
  <si>
    <t>floor 18% = FY22 17.9% and FY23 18.0% EBIT margin trough, Historical!B28:C28; mode 21.5% = FY27 guide; cap 24% just above FY25 23.6% peak</t>
  </si>
  <si>
    <t>mc_wacc_normal</t>
  </si>
  <si>
    <t>9.23,0.5</t>
  </si>
  <si>
    <t>centered on base WACC</t>
  </si>
  <si>
    <t>mc_g_tri</t>
  </si>
  <si>
    <t>1.5,2.5,3.0</t>
  </si>
  <si>
    <t>mode = base terminal g 2.5%; max 3.0%, below nominal GDP and Rf; min 1.5%</t>
  </si>
  <si>
    <t>mc_guardrail_wacc_minus_g_min</t>
  </si>
  <si>
    <t>floor on WACC minus g</t>
  </si>
  <si>
    <t>comps</t>
  </si>
  <si>
    <t>CROX,NKE,ONON,BIRK,SHOO,WWW</t>
  </si>
  <si>
    <t>tickers</t>
  </si>
  <si>
    <t>CROX stockanalysis.com / GuruFocus; NKE, ONON, BIRK, SHOO stockanalysis.com; WWW GuruFocus; retrieved Sep 2026</t>
  </si>
  <si>
    <t>sens_wacc_step</t>
  </si>
  <si>
    <t>sensitivity grid step</t>
  </si>
  <si>
    <t>sens_g_step</t>
  </si>
  <si>
    <t>sens_mult_step</t>
  </si>
  <si>
    <t>implied_margin_probe_lo</t>
  </si>
  <si>
    <t>probe margin for the market-implied EBIT margin interpolation (value is linear in margin)</t>
  </si>
  <si>
    <t>implied_margin_probe_hi</t>
  </si>
  <si>
    <t>probe margin for the market-implied EBIT margin interpolation</t>
  </si>
  <si>
    <t>ronic</t>
  </si>
  <si>
    <t>sensitivity input below FY26 ROIC (Historical roic_fy26)</t>
  </si>
  <si>
    <t>Beta regression inputs from inputs/beta.csv (blue)</t>
  </si>
  <si>
    <t>beta_5y_raw</t>
  </si>
  <si>
    <t>inputs/beta.csv, 5Y monthly (1mo), 2021-11-01..2026-09-01, n=59, R2=0.187; yfinance auto_adjust=True, DECK vs SPY, simple returns, OLS</t>
  </si>
  <si>
    <t>verified</t>
  </si>
  <si>
    <t>beta_5y_blume</t>
  </si>
  <si>
    <t>beta_2y_raw</t>
  </si>
  <si>
    <t>inputs/beta.csv, 2Y weekly (1wk), 2024-09-30..2026-09-14, n=103, R2=0.1948; yfinance auto_adjust=True, DECK vs SPY, simple returns, OLS</t>
  </si>
  <si>
    <t>beta_2y_blume</t>
  </si>
  <si>
    <t>Historical: fs_value from inputs/historicals.csv, $ thousands (shares in thousands); blue = input, blank = not in source</t>
  </si>
  <si>
    <t>Line item</t>
  </si>
  <si>
    <t>FY2022</t>
  </si>
  <si>
    <t>FY2023</t>
  </si>
  <si>
    <t>FY2024</t>
  </si>
  <si>
    <t>FY2025</t>
  </si>
  <si>
    <t>source_file(s)</t>
  </si>
  <si>
    <t>note</t>
  </si>
  <si>
    <t>Net sales</t>
  </si>
  <si>
    <t>10-K FY2024 (FY22-23), 10-K FY2026 (FY24-26), Consolidated Statements of Comprehensive Income</t>
  </si>
  <si>
    <t>Cost of sales</t>
  </si>
  <si>
    <t>Gross profit</t>
  </si>
  <si>
    <t>SG&amp;A</t>
  </si>
  <si>
    <t>Income from operations</t>
  </si>
  <si>
    <t>Total other income net</t>
  </si>
  <si>
    <t>as printed: negative = net other income, added to operating income</t>
  </si>
  <si>
    <t>Income before income taxes</t>
  </si>
  <si>
    <t>Income tax expense</t>
  </si>
  <si>
    <t>Net income</t>
  </si>
  <si>
    <t>Depreciation amortization and accretion</t>
  </si>
  <si>
    <t>10-K FY2024 (FY22-23), 10-K FY2026 (FY24-26), Consolidated Statements of Cash Flows</t>
  </si>
  <si>
    <t>Stock-based compensation</t>
  </si>
  <si>
    <t>Purchases of property and equipment</t>
  </si>
  <si>
    <t>as printed in cash-flow statement: negative = cash outflow</t>
  </si>
  <si>
    <t>Cash and cash equivalents</t>
  </si>
  <si>
    <t>10-K FY2024 (FY23-24), 10-K FY2026 (FY25-26), Consolidated Balance Sheets</t>
  </si>
  <si>
    <t>Trade accounts receivable net</t>
  </si>
  <si>
    <t>Inventories</t>
  </si>
  <si>
    <t>Trade accounts payable</t>
  </si>
  <si>
    <t>Operating lease liabilities current</t>
  </si>
  <si>
    <t>Long-term operating lease liabilities</t>
  </si>
  <si>
    <t>Total stockholders' equity</t>
  </si>
  <si>
    <t>10-K FY2026, Consolidated Balance Sheets</t>
  </si>
  <si>
    <t>FY2025: 10-K FY2026, Consolidated Balance Sheets (line 1368); FY2026: 10-K FY2026, Consolidated Balance Sheets (line 1368)</t>
  </si>
  <si>
    <t>Long-term debt</t>
  </si>
  <si>
    <t>no debt line item on DECK balance sheet; undrawn revolver only</t>
  </si>
  <si>
    <t>Diluted weighted-average shares</t>
  </si>
  <si>
    <t>10-K FY2024 (FY22-23), 10-K FY2026 (FY24-26), Note: Basic and Diluted Shares</t>
  </si>
  <si>
    <t>FY2022: restated x6 post-split; FY2023: fs_value restated x6 post-split; xbrl_value already post-split as filed (FY2025 10-K)</t>
  </si>
  <si>
    <t>Ratios (formulas)</t>
  </si>
  <si>
    <t>Revenue growth</t>
  </si>
  <si>
    <t>Gross margin</t>
  </si>
  <si>
    <t>EBIT margin (income from operations / revenue)</t>
  </si>
  <si>
    <t>D&amp;A % revenue</t>
  </si>
  <si>
    <t>Capex % revenue (ABS of cash-flow line)</t>
  </si>
  <si>
    <t>NWC = AR + Inventories - AP ($ thousands)</t>
  </si>
  <si>
    <t>NWC % revenue</t>
  </si>
  <si>
    <t>Effective tax rate</t>
  </si>
  <si>
    <t>SBC % revenue</t>
  </si>
  <si>
    <t>ROIC FY26 = income from operations x (1 - tax) / (equity - cash + operating lease liabilities, current + long-term)</t>
  </si>
  <si>
    <t>ROIC FY26 excluding leases = same numerator / (equity - cash)</t>
  </si>
  <si>
    <t>LTM to Jun 30 2026 ($ thousands): FY2026 + Q1 FY2027 - Q1 FY2026</t>
  </si>
  <si>
    <t>Q1 FY2027</t>
  </si>
  <si>
    <t>Q1 FY2026</t>
  </si>
  <si>
    <t>LTM Jun 2026</t>
  </si>
  <si>
    <t>10-K FY2026 (FY2026 column); 10-Q Q1 FY2027 condensed statements, current-period column (Q1 FY2027) and prior-period column (Q1 FY2026)</t>
  </si>
  <si>
    <t>inputs/historicals.csv period LTM_Jun26 fs_value 1,252,917 (LTM to 2026-06-30 = FY2026 + Q1 FY2027 - Q1 FY2026); must equal column E</t>
  </si>
  <si>
    <t>inputs/historicals.csv period LTM_Jun26 fs_value 74,062 (LTM to 2026-06-30 = FY2026 + Q1 FY2027 - Q1 FY2026); must equal column E</t>
  </si>
  <si>
    <t>LTM EBITDA = income from operations + D&amp;A and accretion</t>
  </si>
  <si>
    <t>formula; feeds Comps tab (defined name ltm_ebitda)</t>
  </si>
  <si>
    <t>WACC: every cell is a formula or a green link; no typed numbers on this sheet</t>
  </si>
  <si>
    <t>Component</t>
  </si>
  <si>
    <t>Value</t>
  </si>
  <si>
    <t>Formula / source</t>
  </si>
  <si>
    <t>Risk-free rate (rf)</t>
  </si>
  <si>
    <t>Assumptions!rf</t>
  </si>
  <si>
    <t>Beta: Damodaran shoe, cash-corrected (operating) unlevered (used)</t>
  </si>
  <si>
    <t>Assumptions!beta; cash-corrected, so compare with the operating beta rows below</t>
  </si>
  <si>
    <t>Beta: regression 5Y monthly, raw (includes cash drag, not cash-corrected)</t>
  </si>
  <si>
    <t>Assumptions!beta_5y_raw (inputs/beta.csv)</t>
  </si>
  <si>
    <t>Beta: regression 5Y monthly, Blume (0.67*raw+0.33)</t>
  </si>
  <si>
    <t>Assumptions!beta_5y_blume</t>
  </si>
  <si>
    <t>Beta: regression 2Y weekly, raw</t>
  </si>
  <si>
    <t>Assumptions!beta_2y_raw</t>
  </si>
  <si>
    <t>Beta: regression 2Y weekly, Blume</t>
  </si>
  <si>
    <t>Assumptions!beta_2y_blume</t>
  </si>
  <si>
    <t>Equity risk premium (ERP)</t>
  </si>
  <si>
    <t>Assumptions!erp</t>
  </si>
  <si>
    <t>Cost of equity  Ke = rf + beta × ERP</t>
  </si>
  <si>
    <t>Pre-tax cost of debt (Kd)</t>
  </si>
  <si>
    <t>Assumptions!cost_debt_pretax</t>
  </si>
  <si>
    <t>Tax rate (t)</t>
  </si>
  <si>
    <t>Assumptions!tax_rate</t>
  </si>
  <si>
    <t>After-tax cost of debt  Kd × (1 − t)</t>
  </si>
  <si>
    <t>Share price ($)</t>
  </si>
  <si>
    <t>Assumptions!price</t>
  </si>
  <si>
    <t>Assumptions!shares_diluted_current</t>
  </si>
  <si>
    <t>Market cap ($ thousands) = price × shares / 1000</t>
  </si>
  <si>
    <t>Debt ($ thousands)</t>
  </si>
  <si>
    <t>Assumptions!debt</t>
  </si>
  <si>
    <t>Total capital ($ thousands)</t>
  </si>
  <si>
    <t>Equity weight  We</t>
  </si>
  <si>
    <t>Debt weight  Wd</t>
  </si>
  <si>
    <t>WACC = Ke×We + Kd×(1−t)×Wd (used; feeds DCF)</t>
  </si>
  <si>
    <t>defined name: wacc_calc</t>
  </si>
  <si>
    <t>WACC at 5Y regression equity beta (includes cash drag, not comparable to the cash-corrected beta; see row 24)</t>
  </si>
  <si>
    <t>not used downstream</t>
  </si>
  <si>
    <t>Operating beta equivalent of the 5Y regression  beta_5y_raw / (1 − cash / market cap)</t>
  </si>
  <si>
    <t>cash drag removed, so it compares like for like with the cash-corrected Damodaran beta</t>
  </si>
  <si>
    <t>Ke at operating beta  rf + beta_op × ERP</t>
  </si>
  <si>
    <t>WACC at operating beta  Ke_op × We + Kd × (1 − t) × Wd</t>
  </si>
  <si>
    <t>equals Ke_op because Wd = 0</t>
  </si>
  <si>
    <t>Value per share at that Ke ($, perpetuity method)</t>
  </si>
  <si>
    <t>same repricing as Sensitivity grid 1 with the operating-beta WACC swapped in</t>
  </si>
  <si>
    <t>DCF: unlevered FCFF, mid-year convention, $ thousands (price in $/share). Every numeric cell is a formula or a link; labels, notes and check ranges are text.</t>
  </si>
  <si>
    <t>($ thousands)</t>
  </si>
  <si>
    <t>FY2026A</t>
  </si>
  <si>
    <t>FY2027E</t>
  </si>
  <si>
    <t>FY2028E</t>
  </si>
  <si>
    <t>FY2029E</t>
  </si>
  <si>
    <t>FY2030E</t>
  </si>
  <si>
    <t>FY2031E</t>
  </si>
  <si>
    <t>Notes</t>
  </si>
  <si>
    <t>FY26A growth from Historical; FY27 to FY31 from Assumptions g_fy27..g_fy31</t>
  </si>
  <si>
    <t>Revenue</t>
  </si>
  <si>
    <t>EBIT margin</t>
  </si>
  <si>
    <t>FY26A actual; forecast = Assumptions ebit_margin (flat)</t>
  </si>
  <si>
    <t>EBIT</t>
  </si>
  <si>
    <t>Taxes on EBIT  (EBIT × tax)</t>
  </si>
  <si>
    <t>NOPAT</t>
  </si>
  <si>
    <t>+ D&amp;A</t>
  </si>
  <si>
    <t>− Capex</t>
  </si>
  <si>
    <t>Historical capex line is negative in the cash-flow statement; shown here as a positive outflow</t>
  </si>
  <si>
    <t>NWC level  (AR + Inv − AP)</t>
  </si>
  <si>
    <t>FY26A = actual AR+Inv−AP from Historical; forecast = nwc_pct × revenue</t>
  </si>
  <si>
    <t>− Change in NWC  (increase = outflow)</t>
  </si>
  <si>
    <t>FCFF  = NOPAT + D&amp;A − Capex − ΔNWC</t>
  </si>
  <si>
    <t>EBITDA  (EBIT + D&amp;A)</t>
  </si>
  <si>
    <t>SBC: expense stays inside EBIT and is not added back to FCFF (SBC treated as a cost). Existing unvested awards are captured in the share count via the 296K dilutive effect (10-Q Note 9).</t>
  </si>
  <si>
    <t>Leases: operating lease cost stays inside EBIT. No operating lease liability is deducted in the equity bridge (leases excluded from the bridge because lease cost is already in EBIT).</t>
  </si>
  <si>
    <t>Fiscal year (numeric, from header)</t>
  </si>
  <si>
    <t>Year offset n  (FY − base FY)</t>
  </si>
  <si>
    <t>base FY from Assumptions!base_year</t>
  </si>
  <si>
    <t>Mid-year period t = n − 0.5</t>
  </si>
  <si>
    <t>Discount factor  1 / (1+WACC)^t</t>
  </si>
  <si>
    <t>PV of FCFF</t>
  </si>
  <si>
    <t>Terminal value &amp; equity bridge</t>
  </si>
  <si>
    <t>Perpetuity (Gordon)</t>
  </si>
  <si>
    <t>Exit multiple</t>
  </si>
  <si>
    <t>Convention</t>
  </si>
  <si>
    <t>Terminal value (undiscounted)</t>
  </si>
  <si>
    <t>Perp: FCFF_FY31×(1+g)/(WACC−g).  Exit: EBITDA_FY31 × exit multiple</t>
  </si>
  <si>
    <t>Discount period for TV (years)</t>
  </si>
  <si>
    <t>Perp discounted at t=4.5 (mid-year consistent); Exit discounted at t=5.0 (end of FY31)</t>
  </si>
  <si>
    <t>PV of terminal value</t>
  </si>
  <si>
    <t>Sum of PV FCFF (FY27 to FY31)</t>
  </si>
  <si>
    <t>Enterprise value</t>
  </si>
  <si>
    <t>+ Cash</t>
  </si>
  <si>
    <t>Assumptions!cash: Jun 30 balance sheet 1,602,589 less 32,168 repurchased to Jul 9 (10-Q subsequent events)</t>
  </si>
  <si>
    <t>− Debt</t>
  </si>
  <si>
    <t>Assumptions!debt (0); leases excluded</t>
  </si>
  <si>
    <t>Equity value</t>
  </si>
  <si>
    <t>Implied price per share ($)  = equity ×1000 / shares</t>
  </si>
  <si>
    <t>Upside / (downside) vs current</t>
  </si>
  <si>
    <t>PV TV as % of EV</t>
  </si>
  <si>
    <t>Market-implied EBIT margin at current price</t>
  </si>
  <si>
    <t>Price at probe margin lo ($)</t>
  </si>
  <si>
    <t>Same SUMPRODUCT repricing as the Sensitivity grids with the margin swapped in; probe margins are Assumptions inputs</t>
  </si>
  <si>
    <t>Price at probe margin hi ($)</t>
  </si>
  <si>
    <t>Value per share is linear in margin, so linear interpolation between the two probes is exact; the check row below reprices at this margin and must return the current price</t>
  </si>
  <si>
    <t>Terminal reinvestment sensitivity</t>
  </si>
  <si>
    <t>Implied return on new capital  tg / (net reinvestment FY31 / NOPAT FY31)</t>
  </si>
  <si>
    <t>net reinvestment = NOPAT - FCFF (capex - D&amp;A + change in NWC)</t>
  </si>
  <si>
    <t>Price at Assumptions!ronic ($)  terminal value = NOPAT_FY31 x (1+g) x (1 - g/RONIC) / (WACC - g)</t>
  </si>
  <si>
    <t>same SUMPRODUCT repricing as the Sensitivity grids with a value-driver terminal value</t>
  </si>
  <si>
    <t>Implied g from exit TV at Assumptions!ronic, timed to the exit convention</t>
  </si>
  <si>
    <t>solves T = NOPAT x (1+g) x (1 - g/RONIC) / (WACC - g), with T the exit TV pulled back to the mid-year point</t>
  </si>
  <si>
    <t>Integrity checks (must all pass)</t>
  </si>
  <si>
    <t>Test</t>
  </si>
  <si>
    <t>Result</t>
  </si>
  <si>
    <t>Y1 discount factor − 1/(1+WACC)^0.5</t>
  </si>
  <si>
    <t>exactly 0</t>
  </si>
  <si>
    <t>Price at market-implied margin (must equal current price)</t>
  </si>
  <si>
    <t>equals current price</t>
  </si>
  <si>
    <t>Sensitivity grid 1 center − price_perp</t>
  </si>
  <si>
    <t>exactly 0 (Sensitivity tab)</t>
  </si>
  <si>
    <t>Sensitivity grid 2 center − price_exit</t>
  </si>
  <si>
    <t>Monte Carlo deterministic run − price_perp</t>
  </si>
  <si>
    <t>&lt; $0.005 (MC tab)</t>
  </si>
  <si>
    <t>Monte Carlo current_price − Assumptions price</t>
  </si>
  <si>
    <t>Integrity checks passing</t>
  </si>
  <si>
    <t>Cross-checks (value vs reference range; outside range is a flag, not an error)</t>
  </si>
  <si>
    <t>Reference range</t>
  </si>
  <si>
    <t>TV % of EV (perpetuity)</t>
  </si>
  <si>
    <t>60% to 80%</t>
  </si>
  <si>
    <t>Implied exit multiple from perpetuity TV / EBITDA_FY31, timed to the exit convention</t>
  </si>
  <si>
    <t>8x to 12x</t>
  </si>
  <si>
    <t>Implied g from exit multiple (timed to exit convention)</t>
  </si>
  <si>
    <t>1.5% to 3.5%</t>
  </si>
  <si>
    <t>(TV×WACC − FCFF)/(TV + FCFF), with the exit TV pulled back half a year to the mid-year point</t>
  </si>
  <si>
    <t>Perpetuity vs exit gap, abs(price_perp / price_exit - 1)</t>
  </si>
  <si>
    <t>&lt;= 20%</t>
  </si>
  <si>
    <t>Terminal FCFF margin (FY31 FCFF / revenue)</t>
  </si>
  <si>
    <t>12% to 18%</t>
  </si>
  <si>
    <t>Implied EV / LTM EBITDA  (perpetuity EV / Historical!ltm_ebitda)</t>
  </si>
  <si>
    <t>context</t>
  </si>
  <si>
    <t>Implied EV / FY27E EBITDA  (perpetuity EV / EBITDA FY2027E)</t>
  </si>
  <si>
    <t>Sensitivity: live formula grids. Each cell re-prices the DCF for the row WACC and the column g / exit multiple, using the DCF FCFF and EBITDA rows, the DCF t and n rows, and the defined names cash, debt, shares.</t>
  </si>
  <si>
    <t>Axes are centered on the base case (wacc_calc, tg, exit_mult) ± 2 steps; steps are Assumptions inputs sens_wacc_step / sens_g_step / sens_mult_step. The highlighted center cell must equal the DCF price.</t>
  </si>
  <si>
    <t>Grid 1: implied price ($), perpetuity method. WACC (rows) × terminal growth g (columns)</t>
  </si>
  <si>
    <t>rows: WACC = wacc_calc ± 2 × sens_wacc_step   |   columns: g = tg ± 2 × sens_g_step</t>
  </si>
  <si>
    <t>WACC ↓  /  →</t>
  </si>
  <si>
    <t>Check: center cell − DCF price_perp (must be 0)</t>
  </si>
  <si>
    <t>Grid 2: implied price ($), exit-multiple method. WACC (rows) × EV/EBITDA exit multiple (columns)</t>
  </si>
  <si>
    <t>rows: WACC = wacc_calc ± 2 × sens_wacc_step   |   columns: multiple = exit_mult ± 2 × sens_mult_step</t>
  </si>
  <si>
    <t>Check: center cell − DCF price_exit (must be 0)</t>
  </si>
  <si>
    <t>Comps: EV / LTM EBITDA (blue inputs from stockanalysis.com and GuruFocus), DECK implied value from peer multiples, football field</t>
  </si>
  <si>
    <t>EV / LTM EBITDA</t>
  </si>
  <si>
    <t>Source</t>
  </si>
  <si>
    <t>CROX</t>
  </si>
  <si>
    <t>stockanalysis.com / GuruFocus, retrieved Sep 2026</t>
  </si>
  <si>
    <t>BIRK</t>
  </si>
  <si>
    <t>stockanalysis.com 9.50x vs TipRanks 18.46x. Kept: yfinance same-currency recompute 8.89x (EUR items at EURUSD 1.1465, 2026-09-22) is within 15% of 9.50x</t>
  </si>
  <si>
    <t>NKE</t>
  </si>
  <si>
    <t>stockanalysis.com, retrieved Sep 2026</t>
  </si>
  <si>
    <t>WWW</t>
  </si>
  <si>
    <t>GuruFocus, retrieved Sep 2026</t>
  </si>
  <si>
    <t>SHOO</t>
  </si>
  <si>
    <t>ONON</t>
  </si>
  <si>
    <t>Minimum</t>
  </si>
  <si>
    <t>25th percentile</t>
  </si>
  <si>
    <t>Median</t>
  </si>
  <si>
    <t>75th percentile</t>
  </si>
  <si>
    <t>Maximum</t>
  </si>
  <si>
    <t>DECK implied value from peer EV / LTM EBITDA multiples</t>
  </si>
  <si>
    <t>($ thousands unless stated)</t>
  </si>
  <si>
    <t>Source / formula</t>
  </si>
  <si>
    <t>Peer EV / LTM EBITDA (x)</t>
  </si>
  <si>
    <t>peer statistics above</t>
  </si>
  <si>
    <t>DECK LTM EBITDA to Jun 30 2026</t>
  </si>
  <si>
    <t>Historical!ltm_ebitda = FY2026 + Q1 FY2027 - Q1 FY2026 (income from operations + D&amp;A and accretion)</t>
  </si>
  <si>
    <t>Implied enterprise value</t>
  </si>
  <si>
    <t>peer multiple x DECK LTM EBITDA</t>
  </si>
  <si>
    <t>- Debt</t>
  </si>
  <si>
    <t>Assumptions!debt (0); leases excluded, same bridge as DCF</t>
  </si>
  <si>
    <t>Implied equity value</t>
  </si>
  <si>
    <t>EV + cash - debt</t>
  </si>
  <si>
    <t>Implied price per share ($)</t>
  </si>
  <si>
    <t>equity x 1000 / shares</t>
  </si>
  <si>
    <t>DECK current EV / LTM EBITDA (x)</t>
  </si>
  <si>
    <t>context: (price x shares / 1000 + debt - cash) / LTM EBITDA, at Assumptions!price</t>
  </si>
  <si>
    <t>Median ex-IFRS peers (CROX, NKE, WWW, SHOO)</t>
  </si>
  <si>
    <t>US GAAP reporters only; BIRK (EUR, IFRS) and ONON (CHF, IFRS) excluded</t>
  </si>
  <si>
    <t>Value per share at DECK's current EV / LTM EBITDA multiple ($)</t>
  </si>
  <si>
    <t>DCF exit-multiple method with the market's current multiple in place of exit_mult</t>
  </si>
  <si>
    <t>DECK EV / EBITDA per stockanalysis (x)</t>
  </si>
  <si>
    <t>stockanalysis.com, Sep 21 2026</t>
  </si>
  <si>
    <t>DECK EV / EBITDA per GuruFocus (x)</t>
  </si>
  <si>
    <t>GuruFocus, Sep 1 2026</t>
  </si>
  <si>
    <t>DECK 10-year median EV / EBITDA per GuruFocus (x)</t>
  </si>
  <si>
    <t>Football field ($ per share): low and high per bar</t>
  </si>
  <si>
    <t>Bar</t>
  </si>
  <si>
    <t>Low</t>
  </si>
  <si>
    <t>High</t>
  </si>
  <si>
    <t>DCF perpetuity (WACC +/-1 step, g +/-1 step)</t>
  </si>
  <si>
    <t>MIN / MAX of Sensitivity grid 1 inner 3x3, Sensitivity!$D$8:$F$10</t>
  </si>
  <si>
    <t>DCF exit multiple (WACC +/-1 step, multiple +/-1 step)</t>
  </si>
  <si>
    <t>MIN / MAX of Sensitivity grid 2 inner 3x3, Sensitivity!$D$19:$F$21</t>
  </si>
  <si>
    <t>Monte Carlo P10 to P90</t>
  </si>
  <si>
    <t>MC tab (mc/mc_summary.csv, seed per Assumptions!mc_seed)</t>
  </si>
  <si>
    <t>Trading comps (25th to 75th percentile peer multiple)</t>
  </si>
  <si>
    <t>implied price per share, this tab</t>
  </si>
  <si>
    <t>Analyst price targets</t>
  </si>
  <si>
    <t>stockanalysis.com, Sep 2026, 27 analysts</t>
  </si>
  <si>
    <t>52-week range</t>
  </si>
  <si>
    <t>stockanalysis.com, Sep 2026</t>
  </si>
  <si>
    <t>Base DCF price, perpetuity ($)</t>
  </si>
  <si>
    <t>DCF!price_perp</t>
  </si>
  <si>
    <t>Current price ($)</t>
  </si>
  <si>
    <t>Monte Carlo: perpetuity-method value per share. Written by mc/deck_mc.py (blue = values from mc_summary.csv).</t>
  </si>
  <si>
    <t>metric</t>
  </si>
  <si>
    <t>Distribution (value per share, $)</t>
  </si>
  <si>
    <t>runs</t>
  </si>
  <si>
    <t>mc/mc_summary.csv, Python output, seed 42</t>
  </si>
  <si>
    <t>seed</t>
  </si>
  <si>
    <t>mean</t>
  </si>
  <si>
    <t>std</t>
  </si>
  <si>
    <t>P5</t>
  </si>
  <si>
    <t>P10</t>
  </si>
  <si>
    <t>P25</t>
  </si>
  <si>
    <t>P50</t>
  </si>
  <si>
    <t>P75</t>
  </si>
  <si>
    <t>P90</t>
  </si>
  <si>
    <t>P95</t>
  </si>
  <si>
    <t>min</t>
  </si>
  <si>
    <t>max</t>
  </si>
  <si>
    <t>worst corner at WACC +2 sd (growth, margin, g at floors)</t>
  </si>
  <si>
    <t>WACC at which that corner reprices to the current price</t>
  </si>
  <si>
    <t>that WACC in sd above the mc_wacc_normal mean</t>
  </si>
  <si>
    <t>share of draws above current price (within modeled ranges)</t>
  </si>
  <si>
    <t>current_price</t>
  </si>
  <si>
    <t>Guardrail: WACC - g &gt;= mc_guardrail_wacc_minus_g_min</t>
  </si>
  <si>
    <t>guardrail_runs_violating_initially</t>
  </si>
  <si>
    <t>guardrail_total_redraws</t>
  </si>
  <si>
    <t>guardrail_redraw_passes</t>
  </si>
  <si>
    <t>Tornado: Spearman rank correlation of driver draw vs value</t>
  </si>
  <si>
    <t>spearman_WACC</t>
  </si>
  <si>
    <t>spearman_EBIT margin</t>
  </si>
  <si>
    <t>spearman_Revenue growth shift</t>
  </si>
  <si>
    <t>spearman_Terminal growth g</t>
  </si>
  <si>
    <t>Deterministic reconciliation (all drivers at mode)</t>
  </si>
  <si>
    <t>deterministic_python</t>
  </si>
  <si>
    <t>deterministic_excel_price_perp</t>
  </si>
  <si>
    <t>deterministic_diff</t>
  </si>
  <si>
    <t>wacc_capm_reference</t>
  </si>
  <si>
    <t>Live check</t>
  </si>
  <si>
    <t>price_perp (live link to DCF)</t>
  </si>
  <si>
    <t>|deterministic_python - live price_perp| &lt; $0.005</t>
  </si>
  <si>
    <t>|MC current_price - Assumptions price| &lt; $0.005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</si>
</sst>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.00"/>
    <numFmt numFmtId="165" formatCode="#,##0;\(#,##0\);&quot;-&quot;"/>
    <numFmt numFmtId="166" formatCode="0.00&quot;x&quot;"/>
    <numFmt numFmtId="167" formatCode="0.0000"/>
    <numFmt numFmtId="168" formatCode="0.0%"/>
    <numFmt numFmtId="169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name val="Calibri"/>
    </font>
    <font>
      <sz val="11"/>
      <color rgb="FF0000FF"/>
      <name val="Calibri"/>
    </font>
    <font>
      <sz val="11"/>
      <color rgb="FF000000"/>
      <name val="Calibri"/>
    </font>
    <font>
      <sz val="11"/>
      <color rgb="FF008000"/>
      <name val="Calibri"/>
    </font>
    <font>
      <b/>
      <sz val="11"/>
      <color rgb="FF000000"/>
      <name val="Calibri"/>
    </font>
    <font>
      <b/>
      <sz val="11"/>
      <color rgb="FF00800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9" fillId="0" borderId="0" xfId="0" applyFont="1"/>
    <xf numFmtId="0" fontId="3" fillId="0" borderId="0" xfId="0" applyFont="1"/>
    <xf numFmtId="0" fontId="6" fillId="0" borderId="0" xfId="0" applyFont="1"/>
    <xf numFmtId="164" fontId="6" fillId="0" borderId="0" xfId="0" applyNumberFormat="1" applyFont="1"/>
    <xf numFmtId="3" fontId="6" fillId="0" borderId="0" xfId="0" applyNumberFormat="1" applyFont="1"/>
    <xf numFmtId="10" fontId="6" fillId="0" borderId="0" xfId="0" applyNumberFormat="1" applyFont="1"/>
    <xf numFmtId="164" fontId="8" fillId="0" borderId="0" xfId="0" applyNumberFormat="1" applyFont="1"/>
    <xf numFmtId="168" fontId="8" fillId="0" borderId="0" xfId="0" applyNumberFormat="1" applyFont="1"/>
    <xf numFmtId="0" fontId="1" fillId="0" borderId="0" xfId="0" applyFont="1"/>
    <xf numFmtId="0" fontId="2" fillId="2" borderId="0" xfId="0" applyFont="1" applyFill="1"/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  <xf numFmtId="165" fontId="4" fillId="0" borderId="0" xfId="0" applyNumberFormat="1" applyFont="1"/>
    <xf numFmtId="10" fontId="4" fillId="0" borderId="0" xfId="0" applyNumberFormat="1" applyFont="1"/>
    <xf numFmtId="166" fontId="4" fillId="0" borderId="0" xfId="0" applyNumberFormat="1" applyFont="1"/>
    <xf numFmtId="167" fontId="5" fillId="0" borderId="0" xfId="0" applyNumberFormat="1" applyFont="1"/>
    <xf numFmtId="167" fontId="4" fillId="0" borderId="0" xfId="0" applyNumberFormat="1" applyFont="1"/>
    <xf numFmtId="168" fontId="5" fillId="0" borderId="0" xfId="0" applyNumberFormat="1" applyFont="1"/>
    <xf numFmtId="165" fontId="5" fillId="0" borderId="0" xfId="0" applyNumberFormat="1" applyFont="1"/>
    <xf numFmtId="165" fontId="7" fillId="0" borderId="0" xfId="0" applyNumberFormat="1" applyFont="1"/>
    <xf numFmtId="167" fontId="6" fillId="0" borderId="0" xfId="0" applyNumberFormat="1" applyFont="1"/>
    <xf numFmtId="10" fontId="5" fillId="0" borderId="0" xfId="0" applyNumberFormat="1" applyFont="1"/>
    <xf numFmtId="165" fontId="6" fillId="0" borderId="0" xfId="0" applyNumberFormat="1" applyFont="1"/>
    <xf numFmtId="10" fontId="7" fillId="0" borderId="0" xfId="0" applyNumberFormat="1" applyFont="1"/>
    <xf numFmtId="168" fontId="6" fillId="0" borderId="0" xfId="0" applyNumberFormat="1" applyFont="1"/>
    <xf numFmtId="1" fontId="5" fillId="0" borderId="0" xfId="0" applyNumberFormat="1" applyFont="1"/>
    <xf numFmtId="1" fontId="6" fillId="0" borderId="0" xfId="0" applyNumberFormat="1" applyFont="1"/>
    <xf numFmtId="169" fontId="5" fillId="0" borderId="0" xfId="0" applyNumberFormat="1" applyFont="1"/>
    <xf numFmtId="164" fontId="7" fillId="0" borderId="0" xfId="0" applyNumberFormat="1" applyFont="1"/>
    <xf numFmtId="168" fontId="7" fillId="0" borderId="0" xfId="0" applyNumberFormat="1" applyFont="1"/>
    <xf numFmtId="10" fontId="8" fillId="0" borderId="0" xfId="0" applyNumberFormat="1" applyFont="1"/>
    <xf numFmtId="11" fontId="6" fillId="0" borderId="0" xfId="0" applyNumberFormat="1" applyFont="1"/>
    <xf numFmtId="0" fontId="5" fillId="0" borderId="0" xfId="0" applyFont="1"/>
    <xf numFmtId="0" fontId="7" fillId="0" borderId="0" xfId="0" applyFont="1"/>
    <xf numFmtId="166" fontId="6" fillId="0" borderId="0" xfId="0" applyNumberFormat="1" applyFont="1"/>
    <xf numFmtId="166" fontId="5" fillId="0" borderId="0" xfId="0" applyNumberFormat="1" applyFont="1"/>
    <xf numFmtId="164" fontId="6" fillId="0" borderId="1" xfId="0" applyNumberFormat="1" applyFont="1" applyBorder="1"/>
    <xf numFmtId="164" fontId="8" fillId="4" borderId="1" xfId="0" applyNumberFormat="1" applyFont="1" applyFill="1" applyBorder="1"/>
    <xf numFmtId="166" fontId="8" fillId="0" borderId="0" xfId="0" applyNumberFormat="1" applyFont="1"/>
    <xf numFmtId="166" fontId="7" fillId="0" borderId="0" xfId="0" applyNumberFormat="1" applyFont="1"/>
    <xf numFmtId="164" fontId="5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68" fontId="4" fillId="0" borderId="0" xfId="0" applyNumberFormat="1" applyFont="1"/>
    <xf numFmtId="11" fontId="4" fillId="0" borderId="0" xfId="0" applyNumberFormat="1" applyFont="1"/>
    <xf numFmtId="11" fontId="5" fillId="0" borderId="0" xfId="0" applyNumberFormat="1" applyFont="1"/>
    <xf numFmtId="0" fontId="3" fillId="3" borderId="0" xfId="0" applyFont="1" applyFill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7620000" cy="5334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7620000" cy="36576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/>
  </sheetViews>
  <sheetFormatPr defaultRowHeight="14.25" x14ac:dyDescent="0.45"/>
  <cols>
    <col min="1" max="1" width="44.86328125" customWidth="1"/>
    <col min="2" max="2" width="22" customWidth="1"/>
  </cols>
  <sheetData>
    <row r="1" spans="1:2" ht="18" x14ac:dyDescent="0.55000000000000004">
      <c r="A1" s="1" t="s">
        <v>0</v>
      </c>
    </row>
    <row r="3" spans="1:2" x14ac:dyDescent="0.45">
      <c r="A3" s="2" t="s">
        <v>1</v>
      </c>
      <c r="B3" s="3" t="str">
        <f>company</f>
        <v>Deckers Outdoor Corp</v>
      </c>
    </row>
    <row r="4" spans="1:2" x14ac:dyDescent="0.45">
      <c r="A4" s="2" t="s">
        <v>2</v>
      </c>
      <c r="B4" s="3" t="str">
        <f>ticker</f>
        <v>DECK</v>
      </c>
    </row>
    <row r="5" spans="1:2" x14ac:dyDescent="0.45">
      <c r="A5" s="2" t="s">
        <v>3</v>
      </c>
      <c r="B5" s="3" t="str">
        <f>base_year</f>
        <v>FY2026</v>
      </c>
    </row>
    <row r="6" spans="1:2" x14ac:dyDescent="0.45">
      <c r="A6" s="2" t="s">
        <v>4</v>
      </c>
      <c r="B6" s="3" t="str">
        <f>price_date</f>
        <v>2026-09-21</v>
      </c>
    </row>
    <row r="7" spans="1:2" x14ac:dyDescent="0.45">
      <c r="A7" s="2" t="s">
        <v>5</v>
      </c>
      <c r="B7" s="4">
        <f>price</f>
        <v>80.23</v>
      </c>
    </row>
    <row r="8" spans="1:2" x14ac:dyDescent="0.45">
      <c r="A8" s="2" t="s">
        <v>6</v>
      </c>
      <c r="B8" s="5">
        <f>shares</f>
        <v>136710227</v>
      </c>
    </row>
    <row r="9" spans="1:2" x14ac:dyDescent="0.45">
      <c r="A9" s="2" t="s">
        <v>7</v>
      </c>
      <c r="B9" s="6">
        <f>wacc_calc</f>
        <v>9.2299999999999993E-2</v>
      </c>
    </row>
    <row r="10" spans="1:2" x14ac:dyDescent="0.45">
      <c r="A10" s="2" t="s">
        <v>8</v>
      </c>
      <c r="B10" s="7">
        <f>price_perp</f>
        <v>130.74592045178082</v>
      </c>
    </row>
    <row r="11" spans="1:2" x14ac:dyDescent="0.45">
      <c r="A11" s="2" t="s">
        <v>9</v>
      </c>
      <c r="B11" s="7">
        <f>price_exit</f>
        <v>117.15192718108187</v>
      </c>
    </row>
    <row r="12" spans="1:2" x14ac:dyDescent="0.45">
      <c r="A12" s="2" t="s">
        <v>10</v>
      </c>
      <c r="B12" s="8">
        <f>upside_perp</f>
        <v>0.62963879411418189</v>
      </c>
    </row>
    <row r="13" spans="1:2" x14ac:dyDescent="0.45">
      <c r="A13" s="2" t="s">
        <v>11</v>
      </c>
      <c r="B13" s="8">
        <f>upside_exit</f>
        <v>0.46020101185444173</v>
      </c>
    </row>
    <row r="14" spans="1:2" x14ac:dyDescent="0.45">
      <c r="A14" s="2" t="s">
        <v>12</v>
      </c>
      <c r="B14" s="3" t="str">
        <f>integrity_summary</f>
        <v>6 of 6 pass</v>
      </c>
    </row>
    <row r="15" spans="1:2" x14ac:dyDescent="0.45">
      <c r="A15" s="2" t="s">
        <v>13</v>
      </c>
      <c r="B15" s="3" t="str">
        <f>cross_check_flags</f>
        <v>1 outside range: Implied g from exit multiple (timed to exit convention)</v>
      </c>
    </row>
    <row r="17" spans="1:1" x14ac:dyDescent="0.45">
      <c r="A17" s="2" t="s">
        <v>14</v>
      </c>
    </row>
    <row r="18" spans="1:1" x14ac:dyDescent="0.45">
      <c r="A18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33.86328125" customWidth="1"/>
    <col min="2" max="2" width="31.6640625" customWidth="1"/>
    <col min="3" max="3" width="16.265625" customWidth="1"/>
    <col min="4" max="4" width="160" customWidth="1"/>
    <col min="5" max="5" width="22" customWidth="1"/>
  </cols>
  <sheetData>
    <row r="1" spans="1:5" x14ac:dyDescent="0.45">
      <c r="A1" s="9" t="s">
        <v>16</v>
      </c>
    </row>
    <row r="3" spans="1:5" x14ac:dyDescent="0.45">
      <c r="A3" s="10" t="s">
        <v>17</v>
      </c>
      <c r="B3" s="10" t="s">
        <v>18</v>
      </c>
      <c r="C3" s="10" t="s">
        <v>19</v>
      </c>
      <c r="D3" s="10" t="s">
        <v>20</v>
      </c>
      <c r="E3" s="10" t="s">
        <v>21</v>
      </c>
    </row>
    <row r="4" spans="1:5" x14ac:dyDescent="0.45">
      <c r="A4" s="2" t="s">
        <v>22</v>
      </c>
      <c r="B4" s="11" t="s">
        <v>23</v>
      </c>
      <c r="C4" s="2" t="s">
        <v>24</v>
      </c>
      <c r="D4" s="2" t="s">
        <v>25</v>
      </c>
      <c r="E4" s="2" t="s">
        <v>26</v>
      </c>
    </row>
    <row r="5" spans="1:5" x14ac:dyDescent="0.45">
      <c r="A5" s="2" t="s">
        <v>27</v>
      </c>
      <c r="B5" s="11" t="s">
        <v>28</v>
      </c>
      <c r="C5" s="2" t="s">
        <v>24</v>
      </c>
      <c r="D5" s="2" t="s">
        <v>29</v>
      </c>
      <c r="E5" s="2" t="s">
        <v>26</v>
      </c>
    </row>
    <row r="6" spans="1:5" x14ac:dyDescent="0.45">
      <c r="A6" s="2" t="s">
        <v>30</v>
      </c>
      <c r="B6" s="11" t="s">
        <v>31</v>
      </c>
      <c r="C6" s="2" t="s">
        <v>32</v>
      </c>
      <c r="D6" s="2" t="s">
        <v>25</v>
      </c>
      <c r="E6" s="2" t="s">
        <v>26</v>
      </c>
    </row>
    <row r="7" spans="1:5" x14ac:dyDescent="0.45">
      <c r="A7" s="2" t="s">
        <v>33</v>
      </c>
      <c r="B7" s="11" t="s">
        <v>34</v>
      </c>
      <c r="C7" s="2" t="s">
        <v>24</v>
      </c>
      <c r="D7" s="2" t="s">
        <v>25</v>
      </c>
      <c r="E7" s="2" t="s">
        <v>26</v>
      </c>
    </row>
    <row r="8" spans="1:5" x14ac:dyDescent="0.45">
      <c r="A8" s="2" t="s">
        <v>35</v>
      </c>
      <c r="B8" s="12">
        <v>80.23</v>
      </c>
      <c r="C8" s="2" t="s">
        <v>36</v>
      </c>
      <c r="D8" s="2" t="s">
        <v>37</v>
      </c>
      <c r="E8" s="2" t="s">
        <v>26</v>
      </c>
    </row>
    <row r="9" spans="1:5" x14ac:dyDescent="0.45">
      <c r="A9" s="2" t="s">
        <v>38</v>
      </c>
      <c r="B9" s="11" t="s">
        <v>39</v>
      </c>
      <c r="C9" s="2" t="s">
        <v>32</v>
      </c>
      <c r="D9" s="2" t="s">
        <v>40</v>
      </c>
      <c r="E9" s="2" t="s">
        <v>26</v>
      </c>
    </row>
    <row r="10" spans="1:5" x14ac:dyDescent="0.45">
      <c r="A10" s="2" t="s">
        <v>41</v>
      </c>
      <c r="B10" s="13">
        <v>136710227</v>
      </c>
      <c r="C10" s="2" t="s">
        <v>42</v>
      </c>
      <c r="D10" s="2" t="s">
        <v>43</v>
      </c>
      <c r="E10" s="2" t="s">
        <v>26</v>
      </c>
    </row>
    <row r="11" spans="1:5" x14ac:dyDescent="0.45">
      <c r="A11" s="2" t="s">
        <v>44</v>
      </c>
      <c r="B11" s="14">
        <v>1570421</v>
      </c>
      <c r="C11" s="2" t="s">
        <v>45</v>
      </c>
      <c r="D11" s="2" t="s">
        <v>46</v>
      </c>
      <c r="E11" s="2" t="s">
        <v>26</v>
      </c>
    </row>
    <row r="12" spans="1:5" x14ac:dyDescent="0.45">
      <c r="A12" s="2" t="s">
        <v>47</v>
      </c>
      <c r="B12" s="14">
        <v>0</v>
      </c>
      <c r="C12" s="2" t="s">
        <v>45</v>
      </c>
      <c r="D12" s="2" t="s">
        <v>25</v>
      </c>
      <c r="E12" s="2" t="s">
        <v>26</v>
      </c>
    </row>
    <row r="13" spans="1:5" x14ac:dyDescent="0.45">
      <c r="A13" s="2" t="s">
        <v>48</v>
      </c>
      <c r="B13" s="14">
        <v>375194</v>
      </c>
      <c r="C13" s="2" t="s">
        <v>45</v>
      </c>
      <c r="D13" s="2" t="s">
        <v>49</v>
      </c>
      <c r="E13" s="2" t="s">
        <v>50</v>
      </c>
    </row>
    <row r="14" spans="1:5" x14ac:dyDescent="0.45">
      <c r="A14" s="2" t="s">
        <v>51</v>
      </c>
      <c r="B14" s="15">
        <v>7.4999999999999997E-2</v>
      </c>
      <c r="C14" s="2" t="s">
        <v>52</v>
      </c>
      <c r="D14" s="2" t="s">
        <v>53</v>
      </c>
      <c r="E14" s="2" t="s">
        <v>26</v>
      </c>
    </row>
    <row r="15" spans="1:5" x14ac:dyDescent="0.45">
      <c r="A15" s="2" t="s">
        <v>54</v>
      </c>
      <c r="B15" s="15">
        <v>7.0000000000000007E-2</v>
      </c>
      <c r="C15" s="2" t="s">
        <v>52</v>
      </c>
      <c r="D15" s="2" t="s">
        <v>55</v>
      </c>
      <c r="E15" s="2" t="s">
        <v>26</v>
      </c>
    </row>
    <row r="16" spans="1:5" x14ac:dyDescent="0.45">
      <c r="A16" s="2" t="s">
        <v>56</v>
      </c>
      <c r="B16" s="15">
        <v>0.06</v>
      </c>
      <c r="C16" s="2" t="s">
        <v>52</v>
      </c>
      <c r="D16" s="2" t="s">
        <v>55</v>
      </c>
      <c r="E16" s="2" t="s">
        <v>26</v>
      </c>
    </row>
    <row r="17" spans="1:5" x14ac:dyDescent="0.45">
      <c r="A17" s="2" t="s">
        <v>57</v>
      </c>
      <c r="B17" s="15">
        <v>0.05</v>
      </c>
      <c r="C17" s="2" t="s">
        <v>52</v>
      </c>
      <c r="D17" s="2" t="s">
        <v>55</v>
      </c>
      <c r="E17" s="2" t="s">
        <v>26</v>
      </c>
    </row>
    <row r="18" spans="1:5" x14ac:dyDescent="0.45">
      <c r="A18" s="2" t="s">
        <v>58</v>
      </c>
      <c r="B18" s="15">
        <v>0.04</v>
      </c>
      <c r="C18" s="2" t="s">
        <v>52</v>
      </c>
      <c r="D18" s="2" t="s">
        <v>55</v>
      </c>
      <c r="E18" s="2" t="s">
        <v>26</v>
      </c>
    </row>
    <row r="19" spans="1:5" x14ac:dyDescent="0.45">
      <c r="A19" s="2" t="s">
        <v>59</v>
      </c>
      <c r="B19" s="15">
        <v>0.215</v>
      </c>
      <c r="C19" s="2" t="s">
        <v>52</v>
      </c>
      <c r="D19" s="2" t="s">
        <v>60</v>
      </c>
      <c r="E19" s="2" t="s">
        <v>26</v>
      </c>
    </row>
    <row r="20" spans="1:5" x14ac:dyDescent="0.45">
      <c r="A20" s="2" t="s">
        <v>61</v>
      </c>
      <c r="B20" s="15">
        <v>1.4E-2</v>
      </c>
      <c r="C20" s="2" t="s">
        <v>52</v>
      </c>
      <c r="D20" s="2" t="s">
        <v>62</v>
      </c>
      <c r="E20" s="2" t="s">
        <v>26</v>
      </c>
    </row>
    <row r="21" spans="1:5" x14ac:dyDescent="0.45">
      <c r="A21" s="2" t="s">
        <v>63</v>
      </c>
      <c r="B21" s="15">
        <v>1.4999999999999999E-2</v>
      </c>
      <c r="C21" s="2" t="s">
        <v>52</v>
      </c>
      <c r="D21" s="2" t="s">
        <v>64</v>
      </c>
      <c r="E21" s="2" t="s">
        <v>26</v>
      </c>
    </row>
    <row r="22" spans="1:5" x14ac:dyDescent="0.45">
      <c r="A22" s="2" t="s">
        <v>65</v>
      </c>
      <c r="B22" s="15">
        <v>7.6999999999999999E-2</v>
      </c>
      <c r="C22" s="2" t="s">
        <v>52</v>
      </c>
      <c r="D22" s="2" t="s">
        <v>66</v>
      </c>
      <c r="E22" s="2" t="s">
        <v>26</v>
      </c>
    </row>
    <row r="23" spans="1:5" x14ac:dyDescent="0.45">
      <c r="A23" s="2" t="s">
        <v>67</v>
      </c>
      <c r="B23" s="15">
        <v>0.23</v>
      </c>
      <c r="C23" s="2" t="s">
        <v>52</v>
      </c>
      <c r="D23" s="2" t="s">
        <v>68</v>
      </c>
      <c r="E23" s="2" t="s">
        <v>26</v>
      </c>
    </row>
    <row r="24" spans="1:5" x14ac:dyDescent="0.45">
      <c r="A24" s="2" t="s">
        <v>69</v>
      </c>
      <c r="B24" s="15">
        <v>0.05</v>
      </c>
      <c r="C24" s="2" t="s">
        <v>52</v>
      </c>
      <c r="D24" s="2" t="s">
        <v>70</v>
      </c>
      <c r="E24" s="2" t="s">
        <v>26</v>
      </c>
    </row>
    <row r="25" spans="1:5" x14ac:dyDescent="0.45">
      <c r="A25" s="2" t="s">
        <v>71</v>
      </c>
      <c r="B25" s="16">
        <v>1</v>
      </c>
      <c r="C25" s="2" t="s">
        <v>72</v>
      </c>
      <c r="D25" s="2" t="s">
        <v>73</v>
      </c>
      <c r="E25" s="2" t="s">
        <v>26</v>
      </c>
    </row>
    <row r="26" spans="1:5" x14ac:dyDescent="0.45">
      <c r="A26" s="2" t="s">
        <v>74</v>
      </c>
      <c r="B26" s="17">
        <f>beta_5y_raw</f>
        <v>1.0988</v>
      </c>
      <c r="C26" s="2" t="s">
        <v>72</v>
      </c>
      <c r="D26" s="2" t="s">
        <v>75</v>
      </c>
      <c r="E26" s="2" t="s">
        <v>76</v>
      </c>
    </row>
    <row r="27" spans="1:5" x14ac:dyDescent="0.45">
      <c r="A27" s="2" t="s">
        <v>77</v>
      </c>
      <c r="B27" s="15">
        <v>4.2299999999999997E-2</v>
      </c>
      <c r="C27" s="2" t="s">
        <v>52</v>
      </c>
      <c r="D27" s="2" t="s">
        <v>78</v>
      </c>
      <c r="E27" s="2" t="s">
        <v>26</v>
      </c>
    </row>
    <row r="28" spans="1:5" x14ac:dyDescent="0.45">
      <c r="A28" s="2" t="s">
        <v>79</v>
      </c>
      <c r="B28" s="6">
        <f>WACC!B11</f>
        <v>9.2299999999999993E-2</v>
      </c>
      <c r="C28" s="2" t="s">
        <v>52</v>
      </c>
      <c r="D28" s="2" t="s">
        <v>80</v>
      </c>
      <c r="E28" s="2" t="s">
        <v>76</v>
      </c>
    </row>
    <row r="29" spans="1:5" x14ac:dyDescent="0.45">
      <c r="A29" s="2" t="s">
        <v>81</v>
      </c>
      <c r="B29" s="15">
        <v>5.6000000000000001E-2</v>
      </c>
      <c r="C29" s="2" t="s">
        <v>52</v>
      </c>
      <c r="D29" s="2" t="s">
        <v>82</v>
      </c>
      <c r="E29" s="2" t="s">
        <v>26</v>
      </c>
    </row>
    <row r="30" spans="1:5" x14ac:dyDescent="0.45">
      <c r="A30" s="2" t="s">
        <v>83</v>
      </c>
      <c r="B30" s="6">
        <f>WACC!B20</f>
        <v>1</v>
      </c>
      <c r="C30" s="2" t="s">
        <v>52</v>
      </c>
      <c r="D30" s="2" t="s">
        <v>84</v>
      </c>
      <c r="E30" s="2" t="s">
        <v>76</v>
      </c>
    </row>
    <row r="31" spans="1:5" x14ac:dyDescent="0.45">
      <c r="A31" s="2" t="s">
        <v>85</v>
      </c>
      <c r="B31" s="6">
        <f>WACC!B22</f>
        <v>9.2299999999999993E-2</v>
      </c>
      <c r="C31" s="2" t="s">
        <v>52</v>
      </c>
      <c r="D31" s="2" t="s">
        <v>86</v>
      </c>
      <c r="E31" s="2" t="s">
        <v>76</v>
      </c>
    </row>
    <row r="32" spans="1:5" x14ac:dyDescent="0.45">
      <c r="A32" s="2" t="s">
        <v>87</v>
      </c>
      <c r="B32" s="15">
        <v>2.5000000000000001E-2</v>
      </c>
      <c r="C32" s="2" t="s">
        <v>52</v>
      </c>
      <c r="D32" s="2" t="s">
        <v>88</v>
      </c>
      <c r="E32" s="2" t="s">
        <v>26</v>
      </c>
    </row>
    <row r="33" spans="1:5" x14ac:dyDescent="0.45">
      <c r="A33" s="2" t="s">
        <v>89</v>
      </c>
      <c r="B33" s="16">
        <v>9.5</v>
      </c>
      <c r="C33" s="2" t="s">
        <v>72</v>
      </c>
      <c r="D33" s="2" t="s">
        <v>90</v>
      </c>
      <c r="E33" s="2" t="s">
        <v>26</v>
      </c>
    </row>
    <row r="34" spans="1:5" x14ac:dyDescent="0.45">
      <c r="A34" s="2" t="s">
        <v>91</v>
      </c>
      <c r="B34" s="13">
        <v>10000</v>
      </c>
      <c r="C34" s="2" t="s">
        <v>92</v>
      </c>
      <c r="D34" s="2" t="s">
        <v>93</v>
      </c>
      <c r="E34" s="2" t="s">
        <v>26</v>
      </c>
    </row>
    <row r="35" spans="1:5" x14ac:dyDescent="0.45">
      <c r="A35" s="2" t="s">
        <v>94</v>
      </c>
      <c r="B35" s="13">
        <v>42</v>
      </c>
      <c r="C35" s="2" t="s">
        <v>92</v>
      </c>
      <c r="D35" s="2" t="s">
        <v>95</v>
      </c>
      <c r="E35" s="2" t="s">
        <v>26</v>
      </c>
    </row>
    <row r="36" spans="1:5" x14ac:dyDescent="0.45">
      <c r="A36" s="2" t="s">
        <v>96</v>
      </c>
      <c r="B36" s="11" t="s">
        <v>97</v>
      </c>
      <c r="C36" s="2" t="s">
        <v>52</v>
      </c>
      <c r="D36" s="2" t="s">
        <v>98</v>
      </c>
      <c r="E36" s="2" t="s">
        <v>26</v>
      </c>
    </row>
    <row r="37" spans="1:5" x14ac:dyDescent="0.45">
      <c r="A37" s="2" t="s">
        <v>99</v>
      </c>
      <c r="B37" s="11" t="s">
        <v>100</v>
      </c>
      <c r="C37" s="2" t="s">
        <v>52</v>
      </c>
      <c r="D37" s="2" t="s">
        <v>101</v>
      </c>
      <c r="E37" s="2" t="s">
        <v>26</v>
      </c>
    </row>
    <row r="38" spans="1:5" x14ac:dyDescent="0.45">
      <c r="A38" s="2" t="s">
        <v>102</v>
      </c>
      <c r="B38" s="11" t="s">
        <v>103</v>
      </c>
      <c r="C38" s="2" t="s">
        <v>52</v>
      </c>
      <c r="D38" s="2" t="s">
        <v>104</v>
      </c>
      <c r="E38" s="2" t="s">
        <v>26</v>
      </c>
    </row>
    <row r="39" spans="1:5" x14ac:dyDescent="0.45">
      <c r="A39" s="2" t="s">
        <v>105</v>
      </c>
      <c r="B39" s="11" t="s">
        <v>106</v>
      </c>
      <c r="C39" s="2" t="s">
        <v>52</v>
      </c>
      <c r="D39" s="2" t="s">
        <v>107</v>
      </c>
      <c r="E39" s="2" t="s">
        <v>26</v>
      </c>
    </row>
    <row r="40" spans="1:5" x14ac:dyDescent="0.45">
      <c r="A40" s="2" t="s">
        <v>108</v>
      </c>
      <c r="B40" s="15">
        <v>1.4999999999999999E-2</v>
      </c>
      <c r="C40" s="2" t="s">
        <v>52</v>
      </c>
      <c r="D40" s="2" t="s">
        <v>109</v>
      </c>
      <c r="E40" s="2" t="s">
        <v>26</v>
      </c>
    </row>
    <row r="41" spans="1:5" x14ac:dyDescent="0.45">
      <c r="A41" s="2" t="s">
        <v>110</v>
      </c>
      <c r="B41" s="11" t="s">
        <v>111</v>
      </c>
      <c r="C41" s="2" t="s">
        <v>112</v>
      </c>
      <c r="D41" s="2" t="s">
        <v>113</v>
      </c>
      <c r="E41" s="2" t="s">
        <v>26</v>
      </c>
    </row>
    <row r="42" spans="1:5" x14ac:dyDescent="0.45">
      <c r="A42" s="2" t="s">
        <v>114</v>
      </c>
      <c r="B42" s="15">
        <v>5.0000000000000001E-3</v>
      </c>
      <c r="C42" s="2" t="s">
        <v>52</v>
      </c>
      <c r="D42" s="2" t="s">
        <v>115</v>
      </c>
      <c r="E42" s="2" t="s">
        <v>26</v>
      </c>
    </row>
    <row r="43" spans="1:5" x14ac:dyDescent="0.45">
      <c r="A43" s="2" t="s">
        <v>116</v>
      </c>
      <c r="B43" s="15">
        <v>5.0000000000000001E-3</v>
      </c>
      <c r="C43" s="2" t="s">
        <v>52</v>
      </c>
      <c r="D43" s="2" t="s">
        <v>115</v>
      </c>
      <c r="E43" s="2" t="s">
        <v>26</v>
      </c>
    </row>
    <row r="44" spans="1:5" x14ac:dyDescent="0.45">
      <c r="A44" s="2" t="s">
        <v>117</v>
      </c>
      <c r="B44" s="16">
        <v>0.5</v>
      </c>
      <c r="C44" s="2" t="s">
        <v>72</v>
      </c>
      <c r="D44" s="2" t="s">
        <v>115</v>
      </c>
      <c r="E44" s="2" t="s">
        <v>26</v>
      </c>
    </row>
    <row r="45" spans="1:5" x14ac:dyDescent="0.45">
      <c r="A45" s="2" t="s">
        <v>118</v>
      </c>
      <c r="B45" s="15">
        <v>0.12</v>
      </c>
      <c r="C45" s="2" t="s">
        <v>52</v>
      </c>
      <c r="D45" s="2" t="s">
        <v>119</v>
      </c>
      <c r="E45" s="2" t="s">
        <v>26</v>
      </c>
    </row>
    <row r="46" spans="1:5" x14ac:dyDescent="0.45">
      <c r="A46" s="2" t="s">
        <v>120</v>
      </c>
      <c r="B46" s="15">
        <v>0.14000000000000001</v>
      </c>
      <c r="C46" s="2" t="s">
        <v>52</v>
      </c>
      <c r="D46" s="2" t="s">
        <v>121</v>
      </c>
      <c r="E46" s="2" t="s">
        <v>26</v>
      </c>
    </row>
    <row r="47" spans="1:5" x14ac:dyDescent="0.45">
      <c r="A47" s="2" t="s">
        <v>122</v>
      </c>
      <c r="B47" s="15">
        <v>0.25</v>
      </c>
      <c r="C47" s="2" t="s">
        <v>52</v>
      </c>
      <c r="D47" s="2" t="s">
        <v>123</v>
      </c>
      <c r="E47" s="2" t="s">
        <v>26</v>
      </c>
    </row>
    <row r="49" spans="1:5" x14ac:dyDescent="0.45">
      <c r="A49" s="9" t="s">
        <v>124</v>
      </c>
    </row>
    <row r="50" spans="1:5" x14ac:dyDescent="0.45">
      <c r="A50" s="10" t="s">
        <v>17</v>
      </c>
      <c r="B50" s="10" t="s">
        <v>18</v>
      </c>
      <c r="C50" s="10" t="s">
        <v>19</v>
      </c>
      <c r="D50" s="10" t="s">
        <v>20</v>
      </c>
      <c r="E50" s="10" t="s">
        <v>21</v>
      </c>
    </row>
    <row r="51" spans="1:5" x14ac:dyDescent="0.45">
      <c r="A51" s="2" t="s">
        <v>125</v>
      </c>
      <c r="B51" s="18">
        <v>1.0988</v>
      </c>
      <c r="C51" s="2" t="s">
        <v>72</v>
      </c>
      <c r="D51" s="2" t="s">
        <v>126</v>
      </c>
      <c r="E51" s="2" t="s">
        <v>127</v>
      </c>
    </row>
    <row r="52" spans="1:5" x14ac:dyDescent="0.45">
      <c r="A52" s="2" t="s">
        <v>128</v>
      </c>
      <c r="B52" s="18">
        <v>1.0662</v>
      </c>
      <c r="C52" s="2" t="s">
        <v>72</v>
      </c>
      <c r="D52" s="2" t="s">
        <v>126</v>
      </c>
      <c r="E52" s="2" t="s">
        <v>127</v>
      </c>
    </row>
    <row r="53" spans="1:5" x14ac:dyDescent="0.45">
      <c r="A53" s="2" t="s">
        <v>129</v>
      </c>
      <c r="B53" s="18">
        <v>1.3346</v>
      </c>
      <c r="C53" s="2" t="s">
        <v>72</v>
      </c>
      <c r="D53" s="2" t="s">
        <v>130</v>
      </c>
      <c r="E53" s="2" t="s">
        <v>127</v>
      </c>
    </row>
    <row r="54" spans="1:5" x14ac:dyDescent="0.45">
      <c r="A54" s="2" t="s">
        <v>131</v>
      </c>
      <c r="B54" s="18">
        <v>1.2242</v>
      </c>
      <c r="C54" s="2" t="s">
        <v>72</v>
      </c>
      <c r="D54" s="2" t="s">
        <v>130</v>
      </c>
      <c r="E54" s="2" t="s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2.46484375" customWidth="1"/>
    <col min="2" max="6" width="14" customWidth="1"/>
    <col min="7" max="7" width="150.46484375" customWidth="1"/>
    <col min="8" max="8" width="80" customWidth="1"/>
  </cols>
  <sheetData>
    <row r="1" spans="1:8" x14ac:dyDescent="0.45">
      <c r="A1" s="9" t="s">
        <v>132</v>
      </c>
    </row>
    <row r="3" spans="1:8" x14ac:dyDescent="0.45">
      <c r="A3" s="10" t="s">
        <v>133</v>
      </c>
      <c r="B3" s="10" t="s">
        <v>134</v>
      </c>
      <c r="C3" s="10" t="s">
        <v>135</v>
      </c>
      <c r="D3" s="10" t="s">
        <v>136</v>
      </c>
      <c r="E3" s="10" t="s">
        <v>137</v>
      </c>
      <c r="F3" s="10" t="s">
        <v>34</v>
      </c>
      <c r="G3" s="10" t="s">
        <v>138</v>
      </c>
      <c r="H3" s="10" t="s">
        <v>139</v>
      </c>
    </row>
    <row r="4" spans="1:8" x14ac:dyDescent="0.45">
      <c r="A4" s="2" t="s">
        <v>140</v>
      </c>
      <c r="B4" s="14">
        <v>3150339</v>
      </c>
      <c r="C4" s="14">
        <v>3627286</v>
      </c>
      <c r="D4" s="14">
        <v>4287763</v>
      </c>
      <c r="E4" s="14">
        <v>4985612</v>
      </c>
      <c r="F4" s="14">
        <v>5472296</v>
      </c>
      <c r="G4" s="2" t="s">
        <v>141</v>
      </c>
      <c r="H4" s="2"/>
    </row>
    <row r="5" spans="1:8" x14ac:dyDescent="0.45">
      <c r="A5" s="2" t="s">
        <v>142</v>
      </c>
      <c r="B5" s="14">
        <v>1542788</v>
      </c>
      <c r="C5" s="14">
        <v>1801916</v>
      </c>
      <c r="D5" s="14">
        <v>1902275</v>
      </c>
      <c r="E5" s="14">
        <v>2099949</v>
      </c>
      <c r="F5" s="14">
        <v>2314570</v>
      </c>
      <c r="G5" s="2" t="s">
        <v>141</v>
      </c>
      <c r="H5" s="2"/>
    </row>
    <row r="6" spans="1:8" x14ac:dyDescent="0.45">
      <c r="A6" s="2" t="s">
        <v>143</v>
      </c>
      <c r="B6" s="14">
        <v>1607551</v>
      </c>
      <c r="C6" s="14">
        <v>1825370</v>
      </c>
      <c r="D6" s="14">
        <v>2385488</v>
      </c>
      <c r="E6" s="14">
        <v>2885663</v>
      </c>
      <c r="F6" s="14">
        <v>3157726</v>
      </c>
      <c r="G6" s="2" t="s">
        <v>141</v>
      </c>
      <c r="H6" s="2"/>
    </row>
    <row r="7" spans="1:8" x14ac:dyDescent="0.45">
      <c r="A7" s="2" t="s">
        <v>144</v>
      </c>
      <c r="B7" s="14">
        <v>1042844</v>
      </c>
      <c r="C7" s="14">
        <v>1172619</v>
      </c>
      <c r="D7" s="14">
        <v>1457974</v>
      </c>
      <c r="E7" s="14">
        <v>1706571</v>
      </c>
      <c r="F7" s="14">
        <v>1894823</v>
      </c>
      <c r="G7" s="2" t="s">
        <v>141</v>
      </c>
      <c r="H7" s="2"/>
    </row>
    <row r="8" spans="1:8" x14ac:dyDescent="0.45">
      <c r="A8" s="2" t="s">
        <v>145</v>
      </c>
      <c r="B8" s="14">
        <v>564707</v>
      </c>
      <c r="C8" s="14">
        <v>652751</v>
      </c>
      <c r="D8" s="14">
        <v>927514</v>
      </c>
      <c r="E8" s="14">
        <v>1179092</v>
      </c>
      <c r="F8" s="14">
        <v>1262903</v>
      </c>
      <c r="G8" s="2" t="s">
        <v>141</v>
      </c>
      <c r="H8" s="2"/>
    </row>
    <row r="9" spans="1:8" x14ac:dyDescent="0.45">
      <c r="A9" s="2" t="s">
        <v>146</v>
      </c>
      <c r="B9" s="14">
        <v>69</v>
      </c>
      <c r="C9" s="14">
        <v>-13331</v>
      </c>
      <c r="D9" s="14">
        <v>-51427</v>
      </c>
      <c r="E9" s="14">
        <v>-64207</v>
      </c>
      <c r="F9" s="14">
        <v>-63453</v>
      </c>
      <c r="G9" s="2" t="s">
        <v>141</v>
      </c>
      <c r="H9" s="2" t="s">
        <v>147</v>
      </c>
    </row>
    <row r="10" spans="1:8" x14ac:dyDescent="0.45">
      <c r="A10" s="2" t="s">
        <v>148</v>
      </c>
      <c r="B10" s="14">
        <v>564638</v>
      </c>
      <c r="C10" s="14">
        <v>666082</v>
      </c>
      <c r="D10" s="14">
        <v>978941</v>
      </c>
      <c r="E10" s="14">
        <v>1243299</v>
      </c>
      <c r="F10" s="14">
        <v>1326356</v>
      </c>
      <c r="G10" s="2" t="s">
        <v>141</v>
      </c>
      <c r="H10" s="2"/>
    </row>
    <row r="11" spans="1:8" x14ac:dyDescent="0.45">
      <c r="A11" s="2" t="s">
        <v>149</v>
      </c>
      <c r="B11" s="14">
        <v>112689</v>
      </c>
      <c r="C11" s="14">
        <v>149260</v>
      </c>
      <c r="D11" s="14">
        <v>219378</v>
      </c>
      <c r="E11" s="14">
        <v>277208</v>
      </c>
      <c r="F11" s="14">
        <v>302285</v>
      </c>
      <c r="G11" s="2" t="s">
        <v>141</v>
      </c>
      <c r="H11" s="2"/>
    </row>
    <row r="12" spans="1:8" x14ac:dyDescent="0.45">
      <c r="A12" s="2" t="s">
        <v>150</v>
      </c>
      <c r="B12" s="14">
        <v>451949</v>
      </c>
      <c r="C12" s="14">
        <v>516822</v>
      </c>
      <c r="D12" s="14">
        <v>759563</v>
      </c>
      <c r="E12" s="14">
        <v>966091</v>
      </c>
      <c r="F12" s="14">
        <v>1024071</v>
      </c>
      <c r="G12" s="2" t="s">
        <v>141</v>
      </c>
      <c r="H12" s="2"/>
    </row>
    <row r="13" spans="1:8" x14ac:dyDescent="0.45">
      <c r="A13" s="2" t="s">
        <v>151</v>
      </c>
      <c r="B13" s="14">
        <v>42878</v>
      </c>
      <c r="C13" s="14">
        <v>47858</v>
      </c>
      <c r="D13" s="14">
        <v>57587</v>
      </c>
      <c r="E13" s="14">
        <v>69353</v>
      </c>
      <c r="F13" s="14">
        <v>75773</v>
      </c>
      <c r="G13" s="2" t="s">
        <v>152</v>
      </c>
      <c r="H13" s="2"/>
    </row>
    <row r="14" spans="1:8" x14ac:dyDescent="0.45">
      <c r="A14" s="2" t="s">
        <v>153</v>
      </c>
      <c r="B14" s="14">
        <v>26816</v>
      </c>
      <c r="C14" s="14">
        <v>26897</v>
      </c>
      <c r="D14" s="14">
        <v>37288</v>
      </c>
      <c r="E14" s="14">
        <v>37943</v>
      </c>
      <c r="F14" s="14">
        <v>44835</v>
      </c>
      <c r="G14" s="2" t="s">
        <v>152</v>
      </c>
      <c r="H14" s="2"/>
    </row>
    <row r="15" spans="1:8" x14ac:dyDescent="0.45">
      <c r="A15" s="2" t="s">
        <v>154</v>
      </c>
      <c r="B15" s="14">
        <v>-51017</v>
      </c>
      <c r="C15" s="14">
        <v>-81025</v>
      </c>
      <c r="D15" s="14">
        <v>-89365</v>
      </c>
      <c r="E15" s="14">
        <v>-86171</v>
      </c>
      <c r="F15" s="14">
        <v>-84623</v>
      </c>
      <c r="G15" s="2" t="s">
        <v>152</v>
      </c>
      <c r="H15" s="2" t="s">
        <v>155</v>
      </c>
    </row>
    <row r="16" spans="1:8" x14ac:dyDescent="0.45">
      <c r="A16" s="2" t="s">
        <v>156</v>
      </c>
      <c r="C16" s="14">
        <v>981795</v>
      </c>
      <c r="D16" s="14">
        <v>1502051</v>
      </c>
      <c r="E16" s="14">
        <v>1889188</v>
      </c>
      <c r="F16" s="14">
        <v>1907249</v>
      </c>
      <c r="G16" s="2" t="s">
        <v>157</v>
      </c>
      <c r="H16" s="2"/>
    </row>
    <row r="17" spans="1:8" x14ac:dyDescent="0.45">
      <c r="A17" s="2" t="s">
        <v>158</v>
      </c>
      <c r="C17" s="14">
        <v>301511</v>
      </c>
      <c r="D17" s="14">
        <v>296565</v>
      </c>
      <c r="E17" s="14">
        <v>332872</v>
      </c>
      <c r="F17" s="14">
        <v>318978</v>
      </c>
      <c r="G17" s="2" t="s">
        <v>157</v>
      </c>
      <c r="H17" s="2"/>
    </row>
    <row r="18" spans="1:8" x14ac:dyDescent="0.45">
      <c r="A18" s="2" t="s">
        <v>159</v>
      </c>
      <c r="C18" s="14">
        <v>532852</v>
      </c>
      <c r="D18" s="14">
        <v>474311</v>
      </c>
      <c r="E18" s="14">
        <v>495226</v>
      </c>
      <c r="F18" s="14">
        <v>487018</v>
      </c>
      <c r="G18" s="2" t="s">
        <v>157</v>
      </c>
      <c r="H18" s="2"/>
    </row>
    <row r="19" spans="1:8" x14ac:dyDescent="0.45">
      <c r="A19" s="2" t="s">
        <v>160</v>
      </c>
      <c r="C19" s="14">
        <v>265605</v>
      </c>
      <c r="D19" s="14">
        <v>378503</v>
      </c>
      <c r="E19" s="14">
        <v>417955</v>
      </c>
      <c r="F19" s="14">
        <v>384529</v>
      </c>
      <c r="G19" s="2" t="s">
        <v>157</v>
      </c>
      <c r="H19" s="2"/>
    </row>
    <row r="20" spans="1:8" x14ac:dyDescent="0.45">
      <c r="A20" s="2" t="s">
        <v>161</v>
      </c>
      <c r="C20" s="14">
        <v>50765</v>
      </c>
      <c r="D20" s="14">
        <v>53581</v>
      </c>
      <c r="E20" s="14">
        <v>54453</v>
      </c>
      <c r="F20" s="14">
        <v>83931</v>
      </c>
      <c r="G20" s="2" t="s">
        <v>157</v>
      </c>
      <c r="H20" s="2"/>
    </row>
    <row r="21" spans="1:8" x14ac:dyDescent="0.45">
      <c r="A21" s="2" t="s">
        <v>162</v>
      </c>
      <c r="C21" s="14">
        <v>195723</v>
      </c>
      <c r="D21" s="14">
        <v>213298</v>
      </c>
      <c r="E21" s="14">
        <v>222522</v>
      </c>
      <c r="F21" s="14">
        <v>291263</v>
      </c>
      <c r="G21" s="2" t="s">
        <v>157</v>
      </c>
      <c r="H21" s="2"/>
    </row>
    <row r="22" spans="1:8" x14ac:dyDescent="0.45">
      <c r="A22" s="2" t="s">
        <v>163</v>
      </c>
      <c r="E22" s="14">
        <v>2513013</v>
      </c>
      <c r="F22" s="14">
        <v>2499638</v>
      </c>
      <c r="G22" s="2" t="s">
        <v>164</v>
      </c>
      <c r="H22" s="2" t="s">
        <v>165</v>
      </c>
    </row>
    <row r="23" spans="1:8" x14ac:dyDescent="0.45">
      <c r="A23" s="2" t="s">
        <v>166</v>
      </c>
      <c r="G23" s="2" t="s">
        <v>157</v>
      </c>
      <c r="H23" s="2" t="s">
        <v>167</v>
      </c>
    </row>
    <row r="24" spans="1:8" x14ac:dyDescent="0.45">
      <c r="A24" s="2" t="s">
        <v>168</v>
      </c>
      <c r="B24" s="14">
        <v>166734</v>
      </c>
      <c r="C24" s="14">
        <v>160116</v>
      </c>
      <c r="D24" s="14">
        <v>156285</v>
      </c>
      <c r="E24" s="14">
        <v>152670</v>
      </c>
      <c r="F24" s="14">
        <v>145805</v>
      </c>
      <c r="G24" s="2" t="s">
        <v>169</v>
      </c>
      <c r="H24" s="2" t="s">
        <v>170</v>
      </c>
    </row>
    <row r="25" spans="1:8" x14ac:dyDescent="0.45">
      <c r="A25" s="9" t="s">
        <v>171</v>
      </c>
    </row>
    <row r="26" spans="1:8" x14ac:dyDescent="0.45">
      <c r="A26" s="2" t="s">
        <v>172</v>
      </c>
      <c r="C26" s="19">
        <f>IF(COUNT(B4,C4)=2,C4/B4-1,"")</f>
        <v>0.15139545299728052</v>
      </c>
      <c r="D26" s="19">
        <f>IF(COUNT(C4,D4)=2,D4/C4-1,"")</f>
        <v>0.18208572469885187</v>
      </c>
      <c r="E26" s="19">
        <f>IF(COUNT(D4,E4)=2,E4/D4-1,"")</f>
        <v>0.16275363167227286</v>
      </c>
      <c r="F26" s="19">
        <f>IF(COUNT(E4,F4)=2,F4/E4-1,"")</f>
        <v>9.7617704707064989E-2</v>
      </c>
    </row>
    <row r="27" spans="1:8" x14ac:dyDescent="0.45">
      <c r="A27" s="2" t="s">
        <v>173</v>
      </c>
      <c r="B27" s="19">
        <f>IF(COUNT(B6,B4)=2,B6/B4,"")</f>
        <v>0.51027873508216104</v>
      </c>
      <c r="C27" s="19">
        <f>IF(COUNT(C6,C4)=2,C6/C4,"")</f>
        <v>0.50323299568878765</v>
      </c>
      <c r="D27" s="19">
        <f>IF(COUNT(D6,D4)=2,D6/D4,"")</f>
        <v>0.55634791381893078</v>
      </c>
      <c r="E27" s="19">
        <f>IF(COUNT(E6,E4)=2,E6/E4,"")</f>
        <v>0.57879814955515996</v>
      </c>
      <c r="F27" s="19">
        <f>IF(COUNT(F6,F4)=2,F6/F4,"")</f>
        <v>0.57703859586542838</v>
      </c>
    </row>
    <row r="28" spans="1:8" x14ac:dyDescent="0.45">
      <c r="A28" s="2" t="s">
        <v>174</v>
      </c>
      <c r="B28" s="19">
        <f>IF(COUNT(B8,B4)=2,B8/B4,"")</f>
        <v>0.17925277247940619</v>
      </c>
      <c r="C28" s="19">
        <f>IF(COUNT(C8,C4)=2,C8/C4,"")</f>
        <v>0.17995575755537335</v>
      </c>
      <c r="D28" s="19">
        <f>IF(COUNT(D8,D4)=2,D8/D4,"")</f>
        <v>0.21631652682296107</v>
      </c>
      <c r="E28" s="19">
        <f>IF(COUNT(E8,E4)=2,E8/E4,"")</f>
        <v>0.23649894937672647</v>
      </c>
      <c r="F28" s="19">
        <f>IF(COUNT(F8,F4)=2,F8/F4,"")</f>
        <v>0.23078119312259424</v>
      </c>
    </row>
    <row r="29" spans="1:8" x14ac:dyDescent="0.45">
      <c r="A29" s="2" t="s">
        <v>175</v>
      </c>
      <c r="B29" s="19">
        <f>IF(COUNT(B13,B4)=2,B13/B4,"")</f>
        <v>1.3610598732390388E-2</v>
      </c>
      <c r="C29" s="19">
        <f>IF(COUNT(C13,C4)=2,C13/C4,"")</f>
        <v>1.3193886558710838E-2</v>
      </c>
      <c r="D29" s="19">
        <f>IF(COUNT(D13,D4)=2,D13/D4,"")</f>
        <v>1.343054641779408E-2</v>
      </c>
      <c r="E29" s="19">
        <f>IF(COUNT(E13,E4)=2,E13/E4,"")</f>
        <v>1.3910629226662644E-2</v>
      </c>
      <c r="F29" s="19">
        <f>IF(COUNT(F13,F4)=2,F13/F4,"")</f>
        <v>1.3846655955745083E-2</v>
      </c>
    </row>
    <row r="30" spans="1:8" x14ac:dyDescent="0.45">
      <c r="A30" s="2" t="s">
        <v>176</v>
      </c>
      <c r="B30" s="19">
        <f>IF(COUNT(B15,B4)=2,ABS(B15)/B4,"")</f>
        <v>1.6194130219001828E-2</v>
      </c>
      <c r="C30" s="19">
        <f>IF(COUNT(C15,C4)=2,ABS(C15)/C4,"")</f>
        <v>2.2337637561526718E-2</v>
      </c>
      <c r="D30" s="19">
        <f>IF(COUNT(D15,D4)=2,ABS(D15)/D4,"")</f>
        <v>2.084187022463695E-2</v>
      </c>
      <c r="E30" s="19">
        <f>IF(COUNT(E15,E4)=2,ABS(E15)/E4,"")</f>
        <v>1.7283936254967294E-2</v>
      </c>
      <c r="F30" s="19">
        <f>IF(COUNT(F15,F4)=2,ABS(F15)/F4,"")</f>
        <v>1.5463893035025883E-2</v>
      </c>
    </row>
    <row r="31" spans="1:8" x14ac:dyDescent="0.45">
      <c r="A31" s="2" t="s">
        <v>177</v>
      </c>
      <c r="B31" s="20" t="str">
        <f>IF(COUNT(B17,B18,B19)=3,B17+B18-B19,"")</f>
        <v/>
      </c>
      <c r="C31" s="20">
        <f>IF(COUNT(C17,C18,C19)=3,C17+C18-C19,"")</f>
        <v>568758</v>
      </c>
      <c r="D31" s="20">
        <f>IF(COUNT(D17,D18,D19)=3,D17+D18-D19,"")</f>
        <v>392373</v>
      </c>
      <c r="E31" s="20">
        <f>IF(COUNT(E17,E18,E19)=3,E17+E18-E19,"")</f>
        <v>410143</v>
      </c>
      <c r="F31" s="20">
        <f>IF(COUNT(F17,F18,F19)=3,F17+F18-F19,"")</f>
        <v>421467</v>
      </c>
    </row>
    <row r="32" spans="1:8" x14ac:dyDescent="0.45">
      <c r="A32" s="2" t="s">
        <v>178</v>
      </c>
      <c r="B32" s="19" t="str">
        <f>IF(AND(ISNUMBER(B31),ISNUMBER(B4)),B31/B4,"")</f>
        <v/>
      </c>
      <c r="C32" s="19">
        <f>IF(AND(ISNUMBER(C31),ISNUMBER(C4)),C31/C4,"")</f>
        <v>0.15679987737388229</v>
      </c>
      <c r="D32" s="19">
        <f>IF(AND(ISNUMBER(D31),ISNUMBER(D4)),D31/D4,"")</f>
        <v>9.1509955191086817E-2</v>
      </c>
      <c r="E32" s="19">
        <f>IF(AND(ISNUMBER(E31),ISNUMBER(E4)),E31/E4,"")</f>
        <v>8.2265326704123787E-2</v>
      </c>
      <c r="F32" s="19">
        <f>IF(AND(ISNUMBER(F31),ISNUMBER(F4)),F31/F4,"")</f>
        <v>7.7018311874942444E-2</v>
      </c>
    </row>
    <row r="33" spans="1:8" x14ac:dyDescent="0.45">
      <c r="A33" s="2" t="s">
        <v>179</v>
      </c>
      <c r="B33" s="19">
        <f>IF(COUNT(B11,B10)=2,B11/B10,"")</f>
        <v>0.19957742837003531</v>
      </c>
      <c r="C33" s="19">
        <f>IF(COUNT(C11,C10)=2,C11/C10,"")</f>
        <v>0.22408652388144404</v>
      </c>
      <c r="D33" s="19">
        <f>IF(COUNT(D11,D10)=2,D11/D10,"")</f>
        <v>0.22409726428865478</v>
      </c>
      <c r="E33" s="19">
        <f>IF(COUNT(E11,E10)=2,E11/E10,"")</f>
        <v>0.22296165282848293</v>
      </c>
      <c r="F33" s="19">
        <f>IF(COUNT(F11,F10)=2,F11/F10,"")</f>
        <v>0.22790638410803735</v>
      </c>
    </row>
    <row r="34" spans="1:8" x14ac:dyDescent="0.45">
      <c r="A34" s="2" t="s">
        <v>180</v>
      </c>
      <c r="B34" s="19">
        <f>IF(COUNT(B14,B4)=2,B14/B4,"")</f>
        <v>8.5120998089411957E-3</v>
      </c>
      <c r="C34" s="19">
        <f>IF(COUNT(C14,C4)=2,C14/C4,"")</f>
        <v>7.4151858993197666E-3</v>
      </c>
      <c r="D34" s="19">
        <f>IF(COUNT(D14,D4)=2,D14/D4,"")</f>
        <v>8.6963761756421697E-3</v>
      </c>
      <c r="E34" s="19">
        <f>IF(COUNT(E14,E4)=2,E14/E4,"")</f>
        <v>7.6104999747272752E-3</v>
      </c>
      <c r="F34" s="19">
        <f>IF(COUNT(F14,F4)=2,F14/F4,"")</f>
        <v>8.1930875084242523E-3</v>
      </c>
    </row>
    <row r="35" spans="1:8" x14ac:dyDescent="0.45">
      <c r="A35" s="2" t="s">
        <v>181</v>
      </c>
      <c r="F35" s="6">
        <f>F8*(1-tax)/(F22-F16+F20+F21)</f>
        <v>1.005014877276678</v>
      </c>
    </row>
    <row r="36" spans="1:8" x14ac:dyDescent="0.45">
      <c r="A36" s="2" t="s">
        <v>182</v>
      </c>
      <c r="F36" s="6">
        <f>F8*(1-tax)/(F22-F16)</f>
        <v>1.6415485601521973</v>
      </c>
    </row>
    <row r="38" spans="1:8" x14ac:dyDescent="0.45">
      <c r="A38" s="9" t="s">
        <v>183</v>
      </c>
    </row>
    <row r="39" spans="1:8" x14ac:dyDescent="0.45">
      <c r="A39" s="10" t="s">
        <v>133</v>
      </c>
      <c r="B39" s="10" t="s">
        <v>34</v>
      </c>
      <c r="C39" s="10" t="s">
        <v>184</v>
      </c>
      <c r="D39" s="10" t="s">
        <v>185</v>
      </c>
      <c r="E39" s="10" t="s">
        <v>186</v>
      </c>
      <c r="F39" s="10"/>
      <c r="G39" s="10" t="s">
        <v>138</v>
      </c>
      <c r="H39" s="10" t="s">
        <v>139</v>
      </c>
    </row>
    <row r="40" spans="1:8" x14ac:dyDescent="0.45">
      <c r="A40" s="2" t="s">
        <v>145</v>
      </c>
      <c r="B40" s="20">
        <f>F8</f>
        <v>1262903</v>
      </c>
      <c r="C40" s="14">
        <v>155301</v>
      </c>
      <c r="D40" s="14">
        <v>165287</v>
      </c>
      <c r="E40" s="20">
        <f>B40+C40-D40</f>
        <v>1252917</v>
      </c>
      <c r="G40" s="2" t="s">
        <v>187</v>
      </c>
      <c r="H40" s="2" t="s">
        <v>188</v>
      </c>
    </row>
    <row r="41" spans="1:8" x14ac:dyDescent="0.45">
      <c r="A41" s="2" t="s">
        <v>151</v>
      </c>
      <c r="B41" s="20">
        <f>F13</f>
        <v>75773</v>
      </c>
      <c r="C41" s="14">
        <v>17713</v>
      </c>
      <c r="D41" s="14">
        <v>19424</v>
      </c>
      <c r="E41" s="20">
        <f>B41+C41-D41</f>
        <v>74062</v>
      </c>
      <c r="G41" s="2" t="s">
        <v>187</v>
      </c>
      <c r="H41" s="2" t="s">
        <v>189</v>
      </c>
    </row>
    <row r="42" spans="1:8" x14ac:dyDescent="0.45">
      <c r="A42" s="9" t="s">
        <v>190</v>
      </c>
      <c r="B42" s="20">
        <f>B40+B41</f>
        <v>1338676</v>
      </c>
      <c r="C42" s="20">
        <f>C40+C41</f>
        <v>173014</v>
      </c>
      <c r="D42" s="20">
        <f>D40+D41</f>
        <v>184711</v>
      </c>
      <c r="E42" s="21">
        <f>E40+E41</f>
        <v>1326979</v>
      </c>
      <c r="G42" s="2" t="s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/>
  </sheetViews>
  <sheetFormatPr defaultRowHeight="14.25" x14ac:dyDescent="0.45"/>
  <cols>
    <col min="1" max="1" width="121.86328125" customWidth="1"/>
    <col min="2" max="2" width="16" customWidth="1"/>
    <col min="3" max="3" width="48" customWidth="1"/>
  </cols>
  <sheetData>
    <row r="1" spans="1:3" x14ac:dyDescent="0.45">
      <c r="A1" s="9" t="s">
        <v>192</v>
      </c>
    </row>
    <row r="3" spans="1:3" x14ac:dyDescent="0.45">
      <c r="A3" s="10" t="s">
        <v>193</v>
      </c>
      <c r="B3" s="10" t="s">
        <v>194</v>
      </c>
      <c r="C3" s="10" t="s">
        <v>195</v>
      </c>
    </row>
    <row r="4" spans="1:3" x14ac:dyDescent="0.45">
      <c r="A4" s="2" t="s">
        <v>196</v>
      </c>
      <c r="B4" s="6">
        <f>rf</f>
        <v>0.05</v>
      </c>
      <c r="C4" s="2" t="s">
        <v>197</v>
      </c>
    </row>
    <row r="5" spans="1:3" x14ac:dyDescent="0.45">
      <c r="A5" s="2" t="s">
        <v>198</v>
      </c>
      <c r="B5" s="22">
        <f>beta</f>
        <v>1</v>
      </c>
      <c r="C5" s="2" t="s">
        <v>199</v>
      </c>
    </row>
    <row r="6" spans="1:3" x14ac:dyDescent="0.45">
      <c r="A6" s="2" t="s">
        <v>200</v>
      </c>
      <c r="B6" s="22">
        <f>beta_5y_raw</f>
        <v>1.0988</v>
      </c>
      <c r="C6" s="2" t="s">
        <v>201</v>
      </c>
    </row>
    <row r="7" spans="1:3" x14ac:dyDescent="0.45">
      <c r="A7" s="2" t="s">
        <v>202</v>
      </c>
      <c r="B7" s="22">
        <f>beta_5y_blume</f>
        <v>1.0662</v>
      </c>
      <c r="C7" s="2" t="s">
        <v>203</v>
      </c>
    </row>
    <row r="8" spans="1:3" x14ac:dyDescent="0.45">
      <c r="A8" s="2" t="s">
        <v>204</v>
      </c>
      <c r="B8" s="22">
        <f>beta_2y_raw</f>
        <v>1.3346</v>
      </c>
      <c r="C8" s="2" t="s">
        <v>205</v>
      </c>
    </row>
    <row r="9" spans="1:3" x14ac:dyDescent="0.45">
      <c r="A9" s="2" t="s">
        <v>206</v>
      </c>
      <c r="B9" s="22">
        <f>beta_2y_blume</f>
        <v>1.2242</v>
      </c>
      <c r="C9" s="2" t="s">
        <v>207</v>
      </c>
    </row>
    <row r="10" spans="1:3" x14ac:dyDescent="0.45">
      <c r="A10" s="2" t="s">
        <v>208</v>
      </c>
      <c r="B10" s="6">
        <f>erp</f>
        <v>4.2299999999999997E-2</v>
      </c>
      <c r="C10" s="2" t="s">
        <v>209</v>
      </c>
    </row>
    <row r="11" spans="1:3" x14ac:dyDescent="0.45">
      <c r="A11" s="2" t="s">
        <v>210</v>
      </c>
      <c r="B11" s="23">
        <f>B4+B5*B10</f>
        <v>9.2299999999999993E-2</v>
      </c>
      <c r="C11" s="2" t="s">
        <v>80</v>
      </c>
    </row>
    <row r="12" spans="1:3" x14ac:dyDescent="0.45">
      <c r="A12" s="2" t="s">
        <v>211</v>
      </c>
      <c r="B12" s="6">
        <f>kd_pretax</f>
        <v>5.6000000000000001E-2</v>
      </c>
      <c r="C12" s="2" t="s">
        <v>212</v>
      </c>
    </row>
    <row r="13" spans="1:3" x14ac:dyDescent="0.45">
      <c r="A13" s="2" t="s">
        <v>213</v>
      </c>
      <c r="B13" s="6">
        <f>tax</f>
        <v>0.23</v>
      </c>
      <c r="C13" s="2" t="s">
        <v>214</v>
      </c>
    </row>
    <row r="14" spans="1:3" x14ac:dyDescent="0.45">
      <c r="A14" s="2" t="s">
        <v>215</v>
      </c>
      <c r="B14" s="23">
        <f>B12*(1-B13)</f>
        <v>4.3119999999999999E-2</v>
      </c>
      <c r="C14" s="2"/>
    </row>
    <row r="15" spans="1:3" x14ac:dyDescent="0.45">
      <c r="A15" s="2" t="s">
        <v>216</v>
      </c>
      <c r="B15" s="4">
        <f>price</f>
        <v>80.23</v>
      </c>
      <c r="C15" s="2" t="s">
        <v>217</v>
      </c>
    </row>
    <row r="16" spans="1:3" x14ac:dyDescent="0.45">
      <c r="A16" s="2" t="s">
        <v>6</v>
      </c>
      <c r="B16" s="5">
        <f>shares</f>
        <v>136710227</v>
      </c>
      <c r="C16" s="2" t="s">
        <v>218</v>
      </c>
    </row>
    <row r="17" spans="1:3" x14ac:dyDescent="0.45">
      <c r="A17" s="2" t="s">
        <v>219</v>
      </c>
      <c r="B17" s="20">
        <f>B15*B16/1000</f>
        <v>10968261.51221</v>
      </c>
      <c r="C17" s="2"/>
    </row>
    <row r="18" spans="1:3" x14ac:dyDescent="0.45">
      <c r="A18" s="2" t="s">
        <v>220</v>
      </c>
      <c r="B18" s="24">
        <f>debt</f>
        <v>0</v>
      </c>
      <c r="C18" s="2" t="s">
        <v>221</v>
      </c>
    </row>
    <row r="19" spans="1:3" x14ac:dyDescent="0.45">
      <c r="A19" s="2" t="s">
        <v>222</v>
      </c>
      <c r="B19" s="20">
        <f>B17+B18</f>
        <v>10968261.51221</v>
      </c>
      <c r="C19" s="2"/>
    </row>
    <row r="20" spans="1:3" x14ac:dyDescent="0.45">
      <c r="A20" s="2" t="s">
        <v>223</v>
      </c>
      <c r="B20" s="23">
        <f>B17/B19</f>
        <v>1</v>
      </c>
      <c r="C20" s="2"/>
    </row>
    <row r="21" spans="1:3" x14ac:dyDescent="0.45">
      <c r="A21" s="2" t="s">
        <v>224</v>
      </c>
      <c r="B21" s="23">
        <f>B18/B19</f>
        <v>0</v>
      </c>
      <c r="C21" s="2"/>
    </row>
    <row r="22" spans="1:3" x14ac:dyDescent="0.45">
      <c r="A22" s="9" t="s">
        <v>225</v>
      </c>
      <c r="B22" s="25">
        <f>B11*B20+B14*B21</f>
        <v>9.2299999999999993E-2</v>
      </c>
      <c r="C22" s="2" t="s">
        <v>226</v>
      </c>
    </row>
    <row r="23" spans="1:3" x14ac:dyDescent="0.45">
      <c r="A23" s="2" t="s">
        <v>227</v>
      </c>
      <c r="B23" s="23">
        <f>(B4+B6*B10)*B20+B14*B21</f>
        <v>9.6479239999999994E-2</v>
      </c>
      <c r="C23" s="2" t="s">
        <v>228</v>
      </c>
    </row>
    <row r="24" spans="1:3" x14ac:dyDescent="0.45">
      <c r="A24" s="2" t="s">
        <v>229</v>
      </c>
      <c r="B24" s="22">
        <f>B6/(1-cash/B17)</f>
        <v>1.282414373169886</v>
      </c>
      <c r="C24" s="2" t="s">
        <v>230</v>
      </c>
    </row>
    <row r="25" spans="1:3" x14ac:dyDescent="0.45">
      <c r="A25" s="2" t="s">
        <v>231</v>
      </c>
      <c r="B25" s="23">
        <f>B4+B24*B10</f>
        <v>0.10424612798508617</v>
      </c>
      <c r="C25" s="2"/>
    </row>
    <row r="26" spans="1:3" x14ac:dyDescent="0.45">
      <c r="A26" s="2" t="s">
        <v>232</v>
      </c>
      <c r="B26" s="23">
        <f>B25*B20+B14*B21</f>
        <v>0.10424612798508617</v>
      </c>
      <c r="C26" s="2" t="s">
        <v>233</v>
      </c>
    </row>
    <row r="27" spans="1:3" x14ac:dyDescent="0.45">
      <c r="A27" s="2" t="s">
        <v>234</v>
      </c>
      <c r="B27" s="4">
        <f>(SUMPRODUCT(DCF!$C$13:$G$13,1/(1+$B$26)^DCF!$C$21:$G$21)+DCF!$G$13*(1+tg)/($B$26-tg)/(1+$B$26)^DCF!$G$21+cash-debt)/shares*1000</f>
        <v>113.06915201775529</v>
      </c>
      <c r="C27" s="2" t="s">
        <v>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7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07.59765625" customWidth="1"/>
    <col min="2" max="2" width="22.86328125" customWidth="1"/>
    <col min="3" max="3" width="31.6640625" customWidth="1"/>
    <col min="4" max="7" width="14" customWidth="1"/>
    <col min="8" max="8" width="90" customWidth="1"/>
  </cols>
  <sheetData>
    <row r="1" spans="1:8" x14ac:dyDescent="0.45">
      <c r="A1" s="9" t="s">
        <v>236</v>
      </c>
    </row>
    <row r="2" spans="1:8" x14ac:dyDescent="0.45">
      <c r="A2" s="10" t="s">
        <v>237</v>
      </c>
      <c r="B2" s="10" t="s">
        <v>238</v>
      </c>
      <c r="C2" s="10" t="s">
        <v>239</v>
      </c>
      <c r="D2" s="10" t="s">
        <v>240</v>
      </c>
      <c r="E2" s="10" t="s">
        <v>241</v>
      </c>
      <c r="F2" s="10" t="s">
        <v>242</v>
      </c>
      <c r="G2" s="10" t="s">
        <v>243</v>
      </c>
      <c r="H2" s="10" t="s">
        <v>244</v>
      </c>
    </row>
    <row r="3" spans="1:8" x14ac:dyDescent="0.45">
      <c r="A3" s="2" t="s">
        <v>172</v>
      </c>
      <c r="B3" s="26">
        <f>Historical!F26</f>
        <v>9.7617704707064989E-2</v>
      </c>
      <c r="C3" s="26">
        <f>g_fy27</f>
        <v>7.4999999999999997E-2</v>
      </c>
      <c r="D3" s="26">
        <f>g_fy28</f>
        <v>7.0000000000000007E-2</v>
      </c>
      <c r="E3" s="26">
        <f>g_fy29</f>
        <v>0.06</v>
      </c>
      <c r="F3" s="26">
        <f>g_fy30</f>
        <v>0.05</v>
      </c>
      <c r="G3" s="26">
        <f>g_fy31</f>
        <v>0.04</v>
      </c>
      <c r="H3" s="2" t="s">
        <v>245</v>
      </c>
    </row>
    <row r="4" spans="1:8" x14ac:dyDescent="0.45">
      <c r="A4" s="2" t="s">
        <v>246</v>
      </c>
      <c r="B4" s="24">
        <f>Historical!F4</f>
        <v>5472296</v>
      </c>
      <c r="C4" s="20">
        <f>B4*(1+C3)</f>
        <v>5882718.2000000002</v>
      </c>
      <c r="D4" s="20">
        <f>C4*(1+D3)</f>
        <v>6294508.4740000004</v>
      </c>
      <c r="E4" s="20">
        <f>D4*(1+E3)</f>
        <v>6672178.9824400004</v>
      </c>
      <c r="F4" s="20">
        <f>E4*(1+F3)</f>
        <v>7005787.9315620009</v>
      </c>
      <c r="G4" s="20">
        <f>F4*(1+G3)</f>
        <v>7286019.4488244811</v>
      </c>
    </row>
    <row r="5" spans="1:8" x14ac:dyDescent="0.45">
      <c r="A5" s="2" t="s">
        <v>247</v>
      </c>
      <c r="B5" s="19">
        <f>B6/B4</f>
        <v>0.23078119312259424</v>
      </c>
      <c r="C5" s="26">
        <f>ebit_margin</f>
        <v>0.215</v>
      </c>
      <c r="D5" s="26">
        <f>ebit_margin</f>
        <v>0.215</v>
      </c>
      <c r="E5" s="26">
        <f>ebit_margin</f>
        <v>0.215</v>
      </c>
      <c r="F5" s="26">
        <f>ebit_margin</f>
        <v>0.215</v>
      </c>
      <c r="G5" s="26">
        <f>ebit_margin</f>
        <v>0.215</v>
      </c>
      <c r="H5" s="2" t="s">
        <v>248</v>
      </c>
    </row>
    <row r="6" spans="1:8" x14ac:dyDescent="0.45">
      <c r="A6" s="2" t="s">
        <v>249</v>
      </c>
      <c r="B6" s="24">
        <f>Historical!F8</f>
        <v>1262903</v>
      </c>
      <c r="C6" s="20">
        <f>C4*C5</f>
        <v>1264784.4129999999</v>
      </c>
      <c r="D6" s="20">
        <f>D4*D5</f>
        <v>1353319.3219100002</v>
      </c>
      <c r="E6" s="20">
        <f>E4*E5</f>
        <v>1434518.4812246</v>
      </c>
      <c r="F6" s="20">
        <f>F4*F5</f>
        <v>1506244.4052858301</v>
      </c>
      <c r="G6" s="20">
        <f>G4*G5</f>
        <v>1566494.1814972635</v>
      </c>
    </row>
    <row r="7" spans="1:8" x14ac:dyDescent="0.45">
      <c r="A7" s="2" t="s">
        <v>250</v>
      </c>
      <c r="C7" s="24">
        <f>C6*tax</f>
        <v>290900.41499000002</v>
      </c>
      <c r="D7" s="24">
        <f>D6*tax</f>
        <v>311263.44403930003</v>
      </c>
      <c r="E7" s="24">
        <f>E6*tax</f>
        <v>329939.25068165798</v>
      </c>
      <c r="F7" s="24">
        <f>F6*tax</f>
        <v>346436.21321574092</v>
      </c>
      <c r="G7" s="24">
        <f>G6*tax</f>
        <v>360293.66174437059</v>
      </c>
    </row>
    <row r="8" spans="1:8" x14ac:dyDescent="0.45">
      <c r="A8" s="2" t="s">
        <v>251</v>
      </c>
      <c r="C8" s="20">
        <f>C6-C7</f>
        <v>973883.99800999998</v>
      </c>
      <c r="D8" s="20">
        <f>D6-D7</f>
        <v>1042055.8778707001</v>
      </c>
      <c r="E8" s="20">
        <f>E6-E7</f>
        <v>1104579.230542942</v>
      </c>
      <c r="F8" s="20">
        <f>F6-F7</f>
        <v>1159808.1920700893</v>
      </c>
      <c r="G8" s="20">
        <f>G6-G7</f>
        <v>1206200.5197528929</v>
      </c>
    </row>
    <row r="9" spans="1:8" x14ac:dyDescent="0.45">
      <c r="A9" s="2" t="s">
        <v>252</v>
      </c>
      <c r="B9" s="24">
        <f>Historical!F13</f>
        <v>75773</v>
      </c>
      <c r="C9" s="24">
        <f>da_pct*C4</f>
        <v>82358.054799999998</v>
      </c>
      <c r="D9" s="24">
        <f>da_pct*D4</f>
        <v>88123.118636000014</v>
      </c>
      <c r="E9" s="24">
        <f>da_pct*E4</f>
        <v>93410.505754160011</v>
      </c>
      <c r="F9" s="24">
        <f>da_pct*F4</f>
        <v>98081.031041868016</v>
      </c>
      <c r="G9" s="24">
        <f>da_pct*G4</f>
        <v>102004.27228354274</v>
      </c>
    </row>
    <row r="10" spans="1:8" x14ac:dyDescent="0.45">
      <c r="A10" s="2" t="s">
        <v>253</v>
      </c>
      <c r="B10" s="24">
        <f>ABS(Historical!F15)</f>
        <v>84623</v>
      </c>
      <c r="C10" s="24">
        <f>capex_pct*C4</f>
        <v>88240.773000000001</v>
      </c>
      <c r="D10" s="24">
        <f>capex_pct*D4</f>
        <v>94417.627110000001</v>
      </c>
      <c r="E10" s="24">
        <f>capex_pct*E4</f>
        <v>100082.6847366</v>
      </c>
      <c r="F10" s="24">
        <f>capex_pct*F4</f>
        <v>105086.81897343001</v>
      </c>
      <c r="G10" s="24">
        <f>capex_pct*G4</f>
        <v>109290.29173236722</v>
      </c>
      <c r="H10" s="2" t="s">
        <v>254</v>
      </c>
    </row>
    <row r="11" spans="1:8" x14ac:dyDescent="0.45">
      <c r="A11" s="2" t="s">
        <v>255</v>
      </c>
      <c r="B11" s="24">
        <f>Historical!F31</f>
        <v>421467</v>
      </c>
      <c r="C11" s="24">
        <f>nwc_pct*C4</f>
        <v>452969.3014</v>
      </c>
      <c r="D11" s="24">
        <f>nwc_pct*D4</f>
        <v>484677.15249800001</v>
      </c>
      <c r="E11" s="24">
        <f>nwc_pct*E4</f>
        <v>513757.78164788004</v>
      </c>
      <c r="F11" s="24">
        <f>nwc_pct*F4</f>
        <v>539445.67073027405</v>
      </c>
      <c r="G11" s="24">
        <f>nwc_pct*G4</f>
        <v>561023.49755948503</v>
      </c>
      <c r="H11" s="2" t="s">
        <v>256</v>
      </c>
    </row>
    <row r="12" spans="1:8" x14ac:dyDescent="0.45">
      <c r="A12" s="2" t="s">
        <v>257</v>
      </c>
      <c r="C12" s="20">
        <f>C11-B11</f>
        <v>31502.301399999997</v>
      </c>
      <c r="D12" s="20">
        <f>D11-C11</f>
        <v>31707.851098000014</v>
      </c>
      <c r="E12" s="20">
        <f>E11-D11</f>
        <v>29080.629149880027</v>
      </c>
      <c r="F12" s="20">
        <f>F11-E11</f>
        <v>25687.889082394016</v>
      </c>
      <c r="G12" s="20">
        <f>G11-F11</f>
        <v>21577.826829210971</v>
      </c>
    </row>
    <row r="13" spans="1:8" x14ac:dyDescent="0.45">
      <c r="A13" s="2" t="s">
        <v>258</v>
      </c>
      <c r="C13" s="20">
        <f>C8+C9-C10-C12</f>
        <v>936498.97840999998</v>
      </c>
      <c r="D13" s="20">
        <f>D8+D9-D10-D12</f>
        <v>1004053.5182987</v>
      </c>
      <c r="E13" s="20">
        <f>E8+E9-E10-E12</f>
        <v>1068826.422410622</v>
      </c>
      <c r="F13" s="20">
        <f>F8+F9-F10-F12</f>
        <v>1127114.5150561333</v>
      </c>
      <c r="G13" s="20">
        <f>G8+G9-G10-G12</f>
        <v>1177336.6734748576</v>
      </c>
    </row>
    <row r="14" spans="1:8" x14ac:dyDescent="0.45">
      <c r="A14" s="2" t="s">
        <v>259</v>
      </c>
      <c r="B14" s="20">
        <f t="shared" ref="B14:G14" si="0">B6+B9</f>
        <v>1338676</v>
      </c>
      <c r="C14" s="20">
        <f t="shared" si="0"/>
        <v>1347142.4678</v>
      </c>
      <c r="D14" s="20">
        <f t="shared" si="0"/>
        <v>1441442.4405460001</v>
      </c>
      <c r="E14" s="20">
        <f t="shared" si="0"/>
        <v>1527928.98697876</v>
      </c>
      <c r="F14" s="20">
        <f t="shared" si="0"/>
        <v>1604325.4363276982</v>
      </c>
      <c r="G14" s="20">
        <f t="shared" si="0"/>
        <v>1668498.4537808062</v>
      </c>
    </row>
    <row r="16" spans="1:8" x14ac:dyDescent="0.45">
      <c r="A16" s="48" t="s">
        <v>260</v>
      </c>
      <c r="B16" s="49"/>
      <c r="C16" s="49"/>
      <c r="D16" s="49"/>
      <c r="E16" s="49"/>
      <c r="F16" s="49"/>
      <c r="G16" s="49"/>
      <c r="H16" s="49"/>
    </row>
    <row r="17" spans="1:8" x14ac:dyDescent="0.45">
      <c r="A17" s="48" t="s">
        <v>261</v>
      </c>
      <c r="B17" s="49"/>
      <c r="C17" s="49"/>
      <c r="D17" s="49"/>
      <c r="E17" s="49"/>
      <c r="F17" s="49"/>
      <c r="G17" s="49"/>
      <c r="H17" s="49"/>
    </row>
    <row r="19" spans="1:8" x14ac:dyDescent="0.45">
      <c r="A19" s="2" t="s">
        <v>262</v>
      </c>
      <c r="B19" s="27">
        <f t="shared" ref="B19:G19" si="1">VALUE(MID(B$2,3,4))</f>
        <v>2026</v>
      </c>
      <c r="C19" s="27">
        <f t="shared" si="1"/>
        <v>2027</v>
      </c>
      <c r="D19" s="27">
        <f t="shared" si="1"/>
        <v>2028</v>
      </c>
      <c r="E19" s="27">
        <f t="shared" si="1"/>
        <v>2029</v>
      </c>
      <c r="F19" s="27">
        <f t="shared" si="1"/>
        <v>2030</v>
      </c>
      <c r="G19" s="27">
        <f t="shared" si="1"/>
        <v>2031</v>
      </c>
    </row>
    <row r="20" spans="1:8" x14ac:dyDescent="0.45">
      <c r="A20" s="2" t="s">
        <v>263</v>
      </c>
      <c r="B20" s="28">
        <f t="shared" ref="B20:G20" si="2">B19-VALUE(MID(base_year,3,4))</f>
        <v>0</v>
      </c>
      <c r="C20" s="28">
        <f t="shared" si="2"/>
        <v>1</v>
      </c>
      <c r="D20" s="28">
        <f t="shared" si="2"/>
        <v>2</v>
      </c>
      <c r="E20" s="28">
        <f t="shared" si="2"/>
        <v>3</v>
      </c>
      <c r="F20" s="28">
        <f t="shared" si="2"/>
        <v>4</v>
      </c>
      <c r="G20" s="28">
        <f t="shared" si="2"/>
        <v>5</v>
      </c>
      <c r="H20" s="2" t="s">
        <v>264</v>
      </c>
    </row>
    <row r="21" spans="1:8" x14ac:dyDescent="0.45">
      <c r="A21" s="2" t="s">
        <v>265</v>
      </c>
      <c r="C21" s="29">
        <f>C20-0.5</f>
        <v>0.5</v>
      </c>
      <c r="D21" s="29">
        <f>D20-0.5</f>
        <v>1.5</v>
      </c>
      <c r="E21" s="29">
        <f>E20-0.5</f>
        <v>2.5</v>
      </c>
      <c r="F21" s="29">
        <f>F20-0.5</f>
        <v>3.5</v>
      </c>
      <c r="G21" s="29">
        <f>G20-0.5</f>
        <v>4.5</v>
      </c>
    </row>
    <row r="22" spans="1:8" x14ac:dyDescent="0.45">
      <c r="A22" s="2" t="s">
        <v>266</v>
      </c>
      <c r="C22" s="22">
        <f>1/(1+wacc_calc)^C21</f>
        <v>0.95681733101224009</v>
      </c>
      <c r="D22" s="22">
        <f>1/(1+wacc_calc)^D21</f>
        <v>0.87596569716400274</v>
      </c>
      <c r="E22" s="22">
        <f>1/(1+wacc_calc)^E21</f>
        <v>0.80194607448869604</v>
      </c>
      <c r="F22" s="22">
        <f>1/(1+wacc_calc)^F21</f>
        <v>0.73418115397665107</v>
      </c>
      <c r="G22" s="22">
        <f>1/(1+wacc_calc)^G21</f>
        <v>0.67214240957305782</v>
      </c>
    </row>
    <row r="23" spans="1:8" x14ac:dyDescent="0.45">
      <c r="A23" s="2" t="s">
        <v>267</v>
      </c>
      <c r="C23" s="20">
        <f>C13*C22</f>
        <v>896058.45301794563</v>
      </c>
      <c r="D23" s="20">
        <f>D13*D22</f>
        <v>879516.44014649047</v>
      </c>
      <c r="E23" s="20">
        <f>E13*E22</f>
        <v>857141.15376199514</v>
      </c>
      <c r="F23" s="20">
        <f>F13*F22</f>
        <v>827506.23532774532</v>
      </c>
      <c r="G23" s="20">
        <f>G13*G22</f>
        <v>791337.9085881192</v>
      </c>
    </row>
    <row r="25" spans="1:8" x14ac:dyDescent="0.45">
      <c r="A25" s="10" t="s">
        <v>268</v>
      </c>
      <c r="B25" s="10" t="s">
        <v>269</v>
      </c>
      <c r="C25" s="10" t="s">
        <v>270</v>
      </c>
      <c r="D25" s="10"/>
      <c r="E25" s="10"/>
      <c r="F25" s="10"/>
      <c r="G25" s="10"/>
      <c r="H25" s="10" t="s">
        <v>271</v>
      </c>
    </row>
    <row r="26" spans="1:8" x14ac:dyDescent="0.45">
      <c r="A26" s="2" t="s">
        <v>272</v>
      </c>
      <c r="B26" s="24">
        <f>G13*(1+tg)/(wacc_calc-tg)</f>
        <v>17931204.908049464</v>
      </c>
      <c r="C26" s="24">
        <f>G14*exit_mult</f>
        <v>15850735.310917659</v>
      </c>
      <c r="H26" s="2" t="s">
        <v>273</v>
      </c>
    </row>
    <row r="27" spans="1:8" x14ac:dyDescent="0.45">
      <c r="A27" s="2" t="s">
        <v>274</v>
      </c>
      <c r="B27" s="29">
        <f>G21</f>
        <v>4.5</v>
      </c>
      <c r="C27" s="29">
        <f>G20</f>
        <v>5</v>
      </c>
      <c r="H27" s="2" t="s">
        <v>275</v>
      </c>
    </row>
    <row r="28" spans="1:8" x14ac:dyDescent="0.45">
      <c r="A28" s="2" t="s">
        <v>276</v>
      </c>
      <c r="B28" s="24">
        <f>B26/(1+wacc_calc)^B27</f>
        <v>12052323.273444606</v>
      </c>
      <c r="C28" s="24">
        <f>C26/(1+wacc_calc)^C27</f>
        <v>10193885.367570877</v>
      </c>
    </row>
    <row r="29" spans="1:8" x14ac:dyDescent="0.45">
      <c r="A29" s="2" t="s">
        <v>277</v>
      </c>
      <c r="B29" s="20">
        <f>SUM(C23:G23)</f>
        <v>4251560.190842296</v>
      </c>
      <c r="C29" s="20">
        <f>SUM(C23:G23)</f>
        <v>4251560.190842296</v>
      </c>
    </row>
    <row r="30" spans="1:8" x14ac:dyDescent="0.45">
      <c r="A30" s="2" t="s">
        <v>278</v>
      </c>
      <c r="B30" s="20">
        <f>B29+B28</f>
        <v>16303883.464286901</v>
      </c>
      <c r="C30" s="20">
        <f>C29+C28</f>
        <v>14445445.558413174</v>
      </c>
    </row>
    <row r="31" spans="1:8" x14ac:dyDescent="0.45">
      <c r="A31" s="2" t="s">
        <v>279</v>
      </c>
      <c r="B31" s="24">
        <f>cash</f>
        <v>1570421</v>
      </c>
      <c r="C31" s="24">
        <f>cash</f>
        <v>1570421</v>
      </c>
      <c r="H31" s="2" t="s">
        <v>280</v>
      </c>
    </row>
    <row r="32" spans="1:8" x14ac:dyDescent="0.45">
      <c r="A32" s="2" t="s">
        <v>281</v>
      </c>
      <c r="B32" s="24">
        <f>debt</f>
        <v>0</v>
      </c>
      <c r="C32" s="24">
        <f>debt</f>
        <v>0</v>
      </c>
      <c r="H32" s="2" t="s">
        <v>282</v>
      </c>
    </row>
    <row r="33" spans="1:8" x14ac:dyDescent="0.45">
      <c r="A33" s="2" t="s">
        <v>283</v>
      </c>
      <c r="B33" s="20">
        <f>B30+B31-B32</f>
        <v>17874304.464286901</v>
      </c>
      <c r="C33" s="20">
        <f>C30+C31-C32</f>
        <v>16015866.558413174</v>
      </c>
    </row>
    <row r="34" spans="1:8" x14ac:dyDescent="0.45">
      <c r="A34" s="2" t="s">
        <v>6</v>
      </c>
      <c r="B34" s="5">
        <f>shares</f>
        <v>136710227</v>
      </c>
      <c r="C34" s="5">
        <f>shares</f>
        <v>136710227</v>
      </c>
      <c r="H34" s="2" t="s">
        <v>218</v>
      </c>
    </row>
    <row r="35" spans="1:8" x14ac:dyDescent="0.45">
      <c r="A35" s="9" t="s">
        <v>284</v>
      </c>
      <c r="B35" s="30">
        <f>B33*1000/B34</f>
        <v>130.74592045178082</v>
      </c>
      <c r="C35" s="30">
        <f>C33*1000/C34</f>
        <v>117.15192718108187</v>
      </c>
    </row>
    <row r="36" spans="1:8" x14ac:dyDescent="0.45">
      <c r="A36" s="2" t="s">
        <v>5</v>
      </c>
      <c r="B36" s="4">
        <f>price</f>
        <v>80.23</v>
      </c>
      <c r="C36" s="4">
        <f>price</f>
        <v>80.23</v>
      </c>
      <c r="H36" s="2" t="s">
        <v>217</v>
      </c>
    </row>
    <row r="37" spans="1:8" x14ac:dyDescent="0.45">
      <c r="A37" s="9" t="s">
        <v>285</v>
      </c>
      <c r="B37" s="31">
        <f>B35/B36-1</f>
        <v>0.62963879411418189</v>
      </c>
      <c r="C37" s="31">
        <f>C35/C36-1</f>
        <v>0.46020101185444173</v>
      </c>
    </row>
    <row r="38" spans="1:8" x14ac:dyDescent="0.45">
      <c r="A38" s="2" t="s">
        <v>286</v>
      </c>
      <c r="B38" s="19">
        <f>B28/B30</f>
        <v>0.73923021468135541</v>
      </c>
      <c r="C38" s="19">
        <f>C28/C30</f>
        <v>0.70568161614328706</v>
      </c>
    </row>
    <row r="40" spans="1:8" x14ac:dyDescent="0.45">
      <c r="A40" s="10" t="s">
        <v>287</v>
      </c>
      <c r="B40" s="10" t="s">
        <v>194</v>
      </c>
      <c r="C40" s="10"/>
      <c r="D40" s="10"/>
      <c r="E40" s="10"/>
      <c r="F40" s="10"/>
      <c r="G40" s="10"/>
      <c r="H40" s="10" t="s">
        <v>271</v>
      </c>
    </row>
    <row r="41" spans="1:8" x14ac:dyDescent="0.45">
      <c r="A41" s="2" t="s">
        <v>288</v>
      </c>
      <c r="B41" s="4">
        <f>(SUMPRODUCT(implied_margin_probe_lo*$C$4:$G$4*(1-tax)+$C$9:$G$9-$C$10:$G$10-$C$12:$G$12,1/(1+wacc_calc)^$C$21:$G$21)+(implied_margin_probe_lo*$G$4*(1-tax)+$G$9-$G$10-$G$12)*(1+tg)/(wacc_calc-tg)/(1+wacc_calc)^$G$21+cash-debt)/shares*1000</f>
        <v>76.639044722625925</v>
      </c>
      <c r="H41" s="2" t="s">
        <v>289</v>
      </c>
    </row>
    <row r="42" spans="1:8" x14ac:dyDescent="0.45">
      <c r="A42" s="2" t="s">
        <v>290</v>
      </c>
      <c r="B42" s="4">
        <f>(SUMPRODUCT(implied_margin_probe_hi*$C$4:$G$4*(1-tax)+$C$9:$G$9-$C$10:$G$10-$C$12:$G$12,1/(1+wacc_calc)^$C$21:$G$21)+(implied_margin_probe_hi*$G$4*(1-tax)+$G$9-$G$10-$G$12)*(1+tg)/(wacc_calc-tg)/(1+wacc_calc)^$G$21+cash-debt)/shares*1000</f>
        <v>88.029965928763815</v>
      </c>
    </row>
    <row r="43" spans="1:8" x14ac:dyDescent="0.45">
      <c r="A43" s="9" t="s">
        <v>287</v>
      </c>
      <c r="B43" s="32">
        <f>implied_margin_probe_lo+(price-B41)*(implied_margin_probe_hi-implied_margin_probe_lo)/(B42-B41)</f>
        <v>0.12630494270373696</v>
      </c>
      <c r="H43" s="2" t="s">
        <v>291</v>
      </c>
    </row>
    <row r="45" spans="1:8" x14ac:dyDescent="0.45">
      <c r="A45" s="10" t="s">
        <v>292</v>
      </c>
      <c r="B45" s="10" t="s">
        <v>194</v>
      </c>
      <c r="C45" s="10"/>
      <c r="D45" s="10"/>
      <c r="E45" s="10"/>
      <c r="F45" s="10"/>
      <c r="G45" s="10"/>
      <c r="H45" s="10" t="s">
        <v>271</v>
      </c>
    </row>
    <row r="46" spans="1:8" x14ac:dyDescent="0.45">
      <c r="A46" s="2" t="s">
        <v>293</v>
      </c>
      <c r="B46" s="6">
        <f>tg/(($G$8-$G$13)/$G$8)</f>
        <v>1.0447330097087426</v>
      </c>
      <c r="H46" s="2" t="s">
        <v>294</v>
      </c>
    </row>
    <row r="47" spans="1:8" x14ac:dyDescent="0.45">
      <c r="A47" s="2" t="s">
        <v>295</v>
      </c>
      <c r="B47" s="4">
        <f>(SUMPRODUCT($C$13:$G$13,1/(1+wacc_calc)^$C$21:$G$21)+$G$8*(1+tg)*(1-tg/ronic)/(wacc_calc-tg)/(1+wacc_calc)^$G$21+cash-debt)/shares*1000</f>
        <v>123.87516420131617</v>
      </c>
      <c r="H47" s="2" t="s">
        <v>296</v>
      </c>
    </row>
    <row r="48" spans="1:8" x14ac:dyDescent="0.45">
      <c r="A48" s="2" t="s">
        <v>297</v>
      </c>
      <c r="B48" s="6">
        <f>(-($G$8*(1-1/ronic)+C26/(1+wacc_calc)^(C27-B27))+SQRT(($G$8*(1-1/ronic)+C26/(1+wacc_calc)^(C27-B27))^2-4*(-$G$8/ronic)*($G$8-C26/(1+wacc_calc)^(C27-B27)*wacc_calc)))/(2*(-$G$8/ronic))</f>
        <v>1.688838177278466E-2</v>
      </c>
      <c r="H48" s="2" t="s">
        <v>298</v>
      </c>
    </row>
    <row r="50" spans="1:8" x14ac:dyDescent="0.45">
      <c r="A50" s="10" t="s">
        <v>299</v>
      </c>
      <c r="B50" s="10" t="s">
        <v>194</v>
      </c>
      <c r="C50" s="10" t="s">
        <v>300</v>
      </c>
      <c r="D50" s="10" t="s">
        <v>301</v>
      </c>
    </row>
    <row r="51" spans="1:8" x14ac:dyDescent="0.45">
      <c r="A51" s="2" t="s">
        <v>302</v>
      </c>
      <c r="B51" s="33">
        <f>C22-1/(1+wacc_calc)^0.5</f>
        <v>0</v>
      </c>
      <c r="C51" s="2" t="s">
        <v>303</v>
      </c>
      <c r="D51" s="34" t="str">
        <f>IF(ABS(B51)&lt;0.000000001,"PASS","FAIL")</f>
        <v>PASS</v>
      </c>
    </row>
    <row r="52" spans="1:8" x14ac:dyDescent="0.45">
      <c r="A52" s="2" t="s">
        <v>304</v>
      </c>
      <c r="B52" s="4">
        <f>(SUMPRODUCT($B$43*$C$4:$G$4*(1-tax)+$C$9:$G$9-$C$10:$G$10-$C$12:$G$12,1/(1+wacc_calc)^$C$21:$G$21)+($B$43*$G$4*(1-tax)+$G$9-$G$10-$G$12)*(1+tg)/(wacc_calc-tg)/(1+wacc_calc)^$G$21+cash-debt)/shares*1000</f>
        <v>80.23</v>
      </c>
      <c r="C52" s="2" t="s">
        <v>305</v>
      </c>
      <c r="D52" s="34" t="str">
        <f>IF(ABS(B52-price)&lt;0.000001,"PASS","FAIL")</f>
        <v>PASS</v>
      </c>
    </row>
    <row r="53" spans="1:8" x14ac:dyDescent="0.45">
      <c r="A53" s="2" t="s">
        <v>306</v>
      </c>
      <c r="B53" s="33">
        <f>sens_diff_perp</f>
        <v>0</v>
      </c>
      <c r="C53" s="2" t="s">
        <v>307</v>
      </c>
      <c r="D53" s="3" t="str">
        <f>sens_check_perp</f>
        <v>PASS</v>
      </c>
    </row>
    <row r="54" spans="1:8" x14ac:dyDescent="0.45">
      <c r="A54" s="2" t="s">
        <v>308</v>
      </c>
      <c r="B54" s="33">
        <f>sens_diff_exit</f>
        <v>0</v>
      </c>
      <c r="C54" s="2" t="s">
        <v>307</v>
      </c>
      <c r="D54" s="3" t="str">
        <f>sens_check_exit</f>
        <v>PASS</v>
      </c>
    </row>
    <row r="55" spans="1:8" x14ac:dyDescent="0.45">
      <c r="A55" s="2" t="s">
        <v>309</v>
      </c>
      <c r="B55" s="33">
        <f>mc_recon_diff</f>
        <v>2.8421709430404007E-14</v>
      </c>
      <c r="C55" s="2" t="s">
        <v>310</v>
      </c>
      <c r="D55" s="3" t="str">
        <f>mc_recon_check</f>
        <v>PASS</v>
      </c>
    </row>
    <row r="56" spans="1:8" x14ac:dyDescent="0.45">
      <c r="A56" s="2" t="s">
        <v>311</v>
      </c>
      <c r="B56" s="33">
        <f>mc_price_diff</f>
        <v>0</v>
      </c>
      <c r="C56" s="2" t="s">
        <v>310</v>
      </c>
      <c r="D56" s="3" t="str">
        <f>mc_price_check</f>
        <v>PASS</v>
      </c>
    </row>
    <row r="57" spans="1:8" x14ac:dyDescent="0.45">
      <c r="A57" s="9" t="s">
        <v>312</v>
      </c>
      <c r="D57" s="35" t="str">
        <f>COUNTIF(D51:D56,"PASS")&amp;" of "&amp;ROWS(D51:D56)&amp;" pass"</f>
        <v>6 of 6 pass</v>
      </c>
    </row>
    <row r="59" spans="1:8" x14ac:dyDescent="0.45">
      <c r="A59" s="10" t="s">
        <v>313</v>
      </c>
      <c r="B59" s="10" t="s">
        <v>194</v>
      </c>
      <c r="C59" s="10" t="s">
        <v>314</v>
      </c>
      <c r="D59" s="10" t="s">
        <v>301</v>
      </c>
    </row>
    <row r="60" spans="1:8" x14ac:dyDescent="0.45">
      <c r="A60" s="2" t="s">
        <v>315</v>
      </c>
      <c r="B60" s="19">
        <f>B38</f>
        <v>0.73923021468135541</v>
      </c>
      <c r="C60" s="2" t="s">
        <v>316</v>
      </c>
      <c r="D60" s="34" t="str">
        <f>IF(AND(B60&gt;=0.6,B60&lt;=0.8),"in range","outside range")</f>
        <v>in range</v>
      </c>
    </row>
    <row r="61" spans="1:8" x14ac:dyDescent="0.45">
      <c r="A61" s="2" t="s">
        <v>317</v>
      </c>
      <c r="B61" s="36">
        <f>B26*(1+wacc_calc)^(C27-B27)/G14</f>
        <v>11.231936299967195</v>
      </c>
      <c r="C61" s="2" t="s">
        <v>318</v>
      </c>
      <c r="D61" s="34" t="str">
        <f>IF(AND(B61&gt;=8,B61&lt;=12),"in range","outside range")</f>
        <v>in range</v>
      </c>
    </row>
    <row r="62" spans="1:8" x14ac:dyDescent="0.45">
      <c r="A62" s="2" t="s">
        <v>319</v>
      </c>
      <c r="B62" s="6">
        <f>(C26/(1+wacc_calc)^(C27-B27)*wacc_calc-G13)/(C26/(1+wacc_calc)^(C27-B27)+G13)</f>
        <v>1.3614444338446413E-2</v>
      </c>
      <c r="C62" s="2" t="s">
        <v>320</v>
      </c>
      <c r="D62" s="34" t="str">
        <f>IF(AND(B62&gt;=0.015,B62&lt;=0.035),"in range","outside range")</f>
        <v>outside range</v>
      </c>
      <c r="H62" s="2" t="s">
        <v>321</v>
      </c>
    </row>
    <row r="63" spans="1:8" x14ac:dyDescent="0.45">
      <c r="A63" s="2" t="s">
        <v>322</v>
      </c>
      <c r="B63" s="19">
        <f>ABS(B35/C35-1)</f>
        <v>0.11603729958011444</v>
      </c>
      <c r="C63" s="2" t="s">
        <v>323</v>
      </c>
      <c r="D63" s="34" t="str">
        <f>IF(B63&lt;=0.2,"in range","outside range")</f>
        <v>in range</v>
      </c>
    </row>
    <row r="64" spans="1:8" x14ac:dyDescent="0.45">
      <c r="A64" s="2" t="s">
        <v>324</v>
      </c>
      <c r="B64" s="19">
        <f>G13/G4</f>
        <v>0.16158846153846157</v>
      </c>
      <c r="C64" s="2" t="s">
        <v>325</v>
      </c>
      <c r="D64" s="34" t="str">
        <f>IF(AND(B64&gt;=0.12,B64&lt;=0.18),"in range","outside range")</f>
        <v>in range</v>
      </c>
    </row>
    <row r="65" spans="1:4" x14ac:dyDescent="0.45">
      <c r="A65" s="2" t="s">
        <v>326</v>
      </c>
      <c r="B65" s="36">
        <f>B30/ltm_ebitda</f>
        <v>12.286466827498327</v>
      </c>
      <c r="C65" s="34" t="str">
        <f>"peer median "&amp;TEXT(comps_med,"0.0")&amp;"x, DECK current "&amp;TEXT(deck_ev_ebitda,"0.00")&amp;"x"</f>
        <v>peer median 11.4x, DECK current 7.08x</v>
      </c>
      <c r="D65" s="2" t="s">
        <v>327</v>
      </c>
    </row>
    <row r="66" spans="1:4" x14ac:dyDescent="0.45">
      <c r="A66" s="2" t="s">
        <v>328</v>
      </c>
      <c r="B66" s="37">
        <f>B30/C14</f>
        <v>12.102568105445114</v>
      </c>
      <c r="C66" s="2" t="s">
        <v>327</v>
      </c>
      <c r="D66" s="2" t="s">
        <v>327</v>
      </c>
    </row>
    <row r="67" spans="1:4" x14ac:dyDescent="0.45">
      <c r="A67" s="9" t="s">
        <v>13</v>
      </c>
      <c r="B67" s="35" t="str">
        <f>IF(COUNTIF(D60:D66,"outside range")=0,"none",COUNTIF(D60:D66,"outside range")&amp;" outside range: "&amp;INDEX(A60:A66,MATCH("outside range",D60:D66,0)))</f>
        <v>1 outside range: Implied g from exit multiple (timed to exit convention)</v>
      </c>
    </row>
  </sheetData>
  <mergeCells count="2">
    <mergeCell ref="A16:H16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workbookViewId="0"/>
  </sheetViews>
  <sheetFormatPr defaultRowHeight="14.25" x14ac:dyDescent="0.45"/>
  <cols>
    <col min="1" max="1" width="53.6640625" customWidth="1"/>
    <col min="2" max="2" width="16" customWidth="1"/>
    <col min="3" max="7" width="13" customWidth="1"/>
  </cols>
  <sheetData>
    <row r="1" spans="1:7" x14ac:dyDescent="0.45">
      <c r="A1" s="9" t="s">
        <v>329</v>
      </c>
    </row>
    <row r="2" spans="1:7" x14ac:dyDescent="0.45">
      <c r="A2" s="2" t="s">
        <v>330</v>
      </c>
    </row>
    <row r="4" spans="1:7" x14ac:dyDescent="0.45">
      <c r="A4" s="9" t="s">
        <v>331</v>
      </c>
    </row>
    <row r="5" spans="1:7" x14ac:dyDescent="0.45">
      <c r="A5" s="2" t="s">
        <v>332</v>
      </c>
    </row>
    <row r="6" spans="1:7" x14ac:dyDescent="0.45">
      <c r="B6" s="9" t="s">
        <v>333</v>
      </c>
      <c r="C6" s="32">
        <f>tg-2*sens_g_step</f>
        <v>1.5000000000000001E-2</v>
      </c>
      <c r="D6" s="32">
        <f>tg-sens_g_step</f>
        <v>0.02</v>
      </c>
      <c r="E6" s="32">
        <f>tg</f>
        <v>2.5000000000000001E-2</v>
      </c>
      <c r="F6" s="32">
        <f>tg+sens_g_step</f>
        <v>3.0000000000000002E-2</v>
      </c>
      <c r="G6" s="32">
        <f>tg+2*sens_g_step</f>
        <v>3.5000000000000003E-2</v>
      </c>
    </row>
    <row r="7" spans="1:7" x14ac:dyDescent="0.45">
      <c r="B7" s="32">
        <f>wacc_calc-2*sens_wacc_step</f>
        <v>8.2299999999999998E-2</v>
      </c>
      <c r="C7" s="38">
        <f>(SUMPRODUCT(DCF!$C$13:$G$13,1/(1+$B7)^DCF!$C$21:$G$21)+DCF!$G$13*(1+C$6)/($B7-C$6)/(1+$B7)^DCF!$G$21+cash-debt)/shares*1000</f>
        <v>134.28274070087127</v>
      </c>
      <c r="D7" s="38">
        <f>(SUMPRODUCT(DCF!$C$13:$G$13,1/(1+$B7)^DCF!$C$21:$G$21)+DCF!$G$13*(1+D$6)/($B7-D$6)/(1+$B7)^DCF!$G$21+cash-debt)/shares*1000</f>
        <v>142.06937461115371</v>
      </c>
      <c r="E7" s="38">
        <f>(SUMPRODUCT(DCF!$C$13:$G$13,1/(1+$B7)^DCF!$C$21:$G$21)+DCF!$G$13*(1+E$6)/($B7-E$6)/(1+$B7)^DCF!$G$21+cash-debt)/shares*1000</f>
        <v>151.21493241502819</v>
      </c>
      <c r="F7" s="38">
        <f>(SUMPRODUCT(DCF!$C$13:$G$13,1/(1+$B7)^DCF!$C$21:$G$21)+DCF!$G$13*(1+F$6)/($B7-F$6)/(1+$B7)^DCF!$G$21+cash-debt)/shares*1000</f>
        <v>162.10916283914639</v>
      </c>
      <c r="G7" s="38">
        <f>(SUMPRODUCT(DCF!$C$13:$G$13,1/(1+$B7)^DCF!$C$21:$G$21)+DCF!$G$13*(1+G$6)/($B7-G$6)/(1+$B7)^DCF!$G$21+cash-debt)/shares*1000</f>
        <v>175.30661322608029</v>
      </c>
    </row>
    <row r="8" spans="1:7" x14ac:dyDescent="0.45">
      <c r="B8" s="32">
        <f>wacc_calc-sens_wacc_step</f>
        <v>8.7299999999999989E-2</v>
      </c>
      <c r="C8" s="38">
        <f>(SUMPRODUCT(DCF!$C$13:$G$13,1/(1+$B8)^DCF!$C$21:$G$21)+DCF!$G$13*(1+C$6)/($B8-C$6)/(1+$B8)^DCF!$G$21+cash-debt)/shares*1000</f>
        <v>125.89423844933603</v>
      </c>
      <c r="D8" s="38">
        <f>(SUMPRODUCT(DCF!$C$13:$G$13,1/(1+$B8)^DCF!$C$21:$G$21)+DCF!$G$13*(1+D$6)/($B8-D$6)/(1+$B8)^DCF!$G$21+cash-debt)/shares*1000</f>
        <v>132.49651106008869</v>
      </c>
      <c r="E8" s="38">
        <f>(SUMPRODUCT(DCF!$C$13:$G$13,1/(1+$B8)^DCF!$C$21:$G$21)+DCF!$G$13*(1+E$6)/($B8-E$6)/(1+$B8)^DCF!$G$21+cash-debt)/shares*1000</f>
        <v>140.15853850402792</v>
      </c>
      <c r="F8" s="38">
        <f>(SUMPRODUCT(DCF!$C$13:$G$13,1/(1+$B8)^DCF!$C$21:$G$21)+DCF!$G$13*(1+F$6)/($B8-F$6)/(1+$B8)^DCF!$G$21+cash-debt)/shares*1000</f>
        <v>149.15774351235447</v>
      </c>
      <c r="G8" s="38">
        <f>(SUMPRODUCT(DCF!$C$13:$G$13,1/(1+$B8)^DCF!$C$21:$G$21)+DCF!$G$13*(1+G$6)/($B8-G$6)/(1+$B8)^DCF!$G$21+cash-debt)/shares*1000</f>
        <v>159.87763781481613</v>
      </c>
    </row>
    <row r="9" spans="1:7" x14ac:dyDescent="0.45">
      <c r="B9" s="32">
        <f>wacc_calc</f>
        <v>9.2299999999999993E-2</v>
      </c>
      <c r="C9" s="38">
        <f>(SUMPRODUCT(DCF!$C$13:$G$13,1/(1+$B9)^DCF!$C$21:$G$21)+DCF!$G$13*(1+C$6)/($B9-C$6)/(1+$B9)^DCF!$G$21+cash-debt)/shares*1000</f>
        <v>118.59222521336184</v>
      </c>
      <c r="D9" s="38">
        <f>(SUMPRODUCT(DCF!$C$13:$G$13,1/(1+$B9)^DCF!$C$21:$G$21)+DCF!$G$13*(1+D$6)/($B9-D$6)/(1+$B9)^DCF!$G$21+cash-debt)/shares*1000</f>
        <v>124.24882057674776</v>
      </c>
      <c r="E9" s="39">
        <f>(SUMPRODUCT(DCF!$C$13:$G$13,1/(1+$B9)^DCF!$C$21:$G$21)+DCF!$G$13*(1+E$6)/($B9-E$6)/(1+$B9)^DCF!$G$21+cash-debt)/shares*1000</f>
        <v>130.74592045178085</v>
      </c>
      <c r="F9" s="38">
        <f>(SUMPRODUCT(DCF!$C$13:$G$13,1/(1+$B9)^DCF!$C$21:$G$21)+DCF!$G$13*(1+F$6)/($B9-F$6)/(1+$B9)^DCF!$G$21+cash-debt)/shares*1000</f>
        <v>138.28589350097661</v>
      </c>
      <c r="G9" s="38">
        <f>(SUMPRODUCT(DCF!$C$13:$G$13,1/(1+$B9)^DCF!$C$21:$G$21)+DCF!$G$13*(1+G$6)/($B9-G$6)/(1+$B9)^DCF!$G$21+cash-debt)/shares*1000</f>
        <v>147.14174317306868</v>
      </c>
    </row>
    <row r="10" spans="1:7" x14ac:dyDescent="0.45">
      <c r="B10" s="32">
        <f>wacc_calc+sens_wacc_step</f>
        <v>9.7299999999999998E-2</v>
      </c>
      <c r="C10" s="38">
        <f>(SUMPRODUCT(DCF!$C$13:$G$13,1/(1+$B10)^DCF!$C$21:$G$21)+DCF!$G$13*(1+C$6)/($B10-C$6)/(1+$B10)^DCF!$G$21+cash-debt)/shares*1000</f>
        <v>112.17864502180792</v>
      </c>
      <c r="D10" s="38">
        <f>(SUMPRODUCT(DCF!$C$13:$G$13,1/(1+$B10)^DCF!$C$21:$G$21)+DCF!$G$13*(1+D$6)/($B10-D$6)/(1+$B10)^DCF!$G$21+cash-debt)/shares*1000</f>
        <v>117.06912534511707</v>
      </c>
      <c r="E10" s="38">
        <f>(SUMPRODUCT(DCF!$C$13:$G$13,1/(1+$B10)^DCF!$C$21:$G$21)+DCF!$G$13*(1+E$6)/($B10-E$6)/(1+$B10)^DCF!$G$21+cash-debt)/shares*1000</f>
        <v>122.63602065090322</v>
      </c>
      <c r="F10" s="38">
        <f>(SUMPRODUCT(DCF!$C$13:$G$13,1/(1+$B10)^DCF!$C$21:$G$21)+DCF!$G$13*(1+F$6)/($B10-F$6)/(1+$B10)^DCF!$G$21+cash-debt)/shares*1000</f>
        <v>129.03009207939166</v>
      </c>
      <c r="G10" s="38">
        <f>(SUMPRODUCT(DCF!$C$13:$G$13,1/(1+$B10)^DCF!$C$21:$G$21)+DCF!$G$13*(1+G$6)/($B10-G$6)/(1+$B10)^DCF!$G$21+cash-debt)/shares*1000</f>
        <v>136.45049921068727</v>
      </c>
    </row>
    <row r="11" spans="1:7" x14ac:dyDescent="0.45">
      <c r="B11" s="32">
        <f>wacc_calc+2*sens_wacc_step</f>
        <v>0.10229999999999999</v>
      </c>
      <c r="C11" s="38">
        <f>(SUMPRODUCT(DCF!$C$13:$G$13,1/(1+$B11)^DCF!$C$21:$G$21)+DCF!$G$13*(1+C$6)/($B11-C$6)/(1+$B11)^DCF!$G$21+cash-debt)/shares*1000</f>
        <v>106.50081640098706</v>
      </c>
      <c r="D11" s="38">
        <f>(SUMPRODUCT(DCF!$C$13:$G$13,1/(1+$B11)^DCF!$C$21:$G$21)+DCF!$G$13*(1+D$6)/($B11-D$6)/(1+$B11)^DCF!$G$21+cash-debt)/shares*1000</f>
        <v>110.76274595904626</v>
      </c>
      <c r="E11" s="38">
        <f>(SUMPRODUCT(DCF!$C$13:$G$13,1/(1+$B11)^DCF!$C$21:$G$21)+DCF!$G$13*(1+E$6)/($B11-E$6)/(1+$B11)^DCF!$G$21+cash-debt)/shares*1000</f>
        <v>115.57602474841967</v>
      </c>
      <c r="F11" s="38">
        <f>(SUMPRODUCT(DCF!$C$13:$G$13,1/(1+$B11)^DCF!$C$21:$G$21)+DCF!$G$13*(1+F$6)/($B11-F$6)/(1+$B11)^DCF!$G$21+cash-debt)/shares*1000</f>
        <v>121.05504057643397</v>
      </c>
      <c r="G11" s="38">
        <f>(SUMPRODUCT(DCF!$C$13:$G$13,1/(1+$B11)^DCF!$C$21:$G$21)+DCF!$G$13*(1+G$6)/($B11-G$6)/(1+$B11)^DCF!$G$21+cash-debt)/shares*1000</f>
        <v>127.34817465526766</v>
      </c>
    </row>
    <row r="13" spans="1:7" x14ac:dyDescent="0.45">
      <c r="A13" s="2" t="s">
        <v>334</v>
      </c>
      <c r="B13" s="33">
        <f>E9-price_perp</f>
        <v>0</v>
      </c>
      <c r="C13" s="35" t="str">
        <f>IF(ABS(B13)&lt;0.000001,"PASS","FAIL")</f>
        <v>PASS</v>
      </c>
    </row>
    <row r="15" spans="1:7" x14ac:dyDescent="0.45">
      <c r="A15" s="9" t="s">
        <v>335</v>
      </c>
    </row>
    <row r="16" spans="1:7" x14ac:dyDescent="0.45">
      <c r="A16" s="2" t="s">
        <v>336</v>
      </c>
    </row>
    <row r="17" spans="1:7" x14ac:dyDescent="0.45">
      <c r="B17" s="9" t="s">
        <v>333</v>
      </c>
      <c r="C17" s="40">
        <f>exit_mult-2*sens_mult_step</f>
        <v>8.5</v>
      </c>
      <c r="D17" s="40">
        <f>exit_mult-sens_mult_step</f>
        <v>9</v>
      </c>
      <c r="E17" s="40">
        <f>exit_mult</f>
        <v>9.5</v>
      </c>
      <c r="F17" s="40">
        <f>exit_mult+sens_mult_step</f>
        <v>10</v>
      </c>
      <c r="G17" s="40">
        <f>exit_mult+2*sens_mult_step</f>
        <v>10.5</v>
      </c>
    </row>
    <row r="18" spans="1:7" x14ac:dyDescent="0.45">
      <c r="B18" s="32">
        <f>wacc_calc-2*sens_wacc_step</f>
        <v>8.2299999999999998E-2</v>
      </c>
      <c r="C18" s="38">
        <f>(SUMPRODUCT(DCF!$C$13:$G$13,1/(1+$B18)^DCF!$C$21:$G$21)+DCF!$G$14*C$17/(1+$B18)^DCF!$G$20+cash-debt)/shares*1000</f>
        <v>113.15058552100977</v>
      </c>
      <c r="D18" s="38">
        <f>(SUMPRODUCT(DCF!$C$13:$G$13,1/(1+$B18)^DCF!$C$21:$G$21)+DCF!$G$14*D$17/(1+$B18)^DCF!$G$20+cash-debt)/shares*1000</f>
        <v>117.25977829939495</v>
      </c>
      <c r="E18" s="38">
        <f>(SUMPRODUCT(DCF!$C$13:$G$13,1/(1+$B18)^DCF!$C$21:$G$21)+DCF!$G$14*E$17/(1+$B18)^DCF!$G$20+cash-debt)/shares*1000</f>
        <v>121.36897107778015</v>
      </c>
      <c r="F18" s="38">
        <f>(SUMPRODUCT(DCF!$C$13:$G$13,1/(1+$B18)^DCF!$C$21:$G$21)+DCF!$G$14*F$17/(1+$B18)^DCF!$G$20+cash-debt)/shares*1000</f>
        <v>125.47816385616534</v>
      </c>
      <c r="G18" s="38">
        <f>(SUMPRODUCT(DCF!$C$13:$G$13,1/(1+$B18)^DCF!$C$21:$G$21)+DCF!$G$14*G$17/(1+$B18)^DCF!$G$20+cash-debt)/shares*1000</f>
        <v>129.58735663455053</v>
      </c>
    </row>
    <row r="19" spans="1:7" x14ac:dyDescent="0.45">
      <c r="B19" s="32">
        <f>wacc_calc-sens_wacc_step</f>
        <v>8.7299999999999989E-2</v>
      </c>
      <c r="C19" s="38">
        <f>(SUMPRODUCT(DCF!$C$13:$G$13,1/(1+$B19)^DCF!$C$21:$G$21)+DCF!$G$14*C$17/(1+$B19)^DCF!$G$20+cash-debt)/shares*1000</f>
        <v>111.20162675056412</v>
      </c>
      <c r="D19" s="38">
        <f>(SUMPRODUCT(DCF!$C$13:$G$13,1/(1+$B19)^DCF!$C$21:$G$21)+DCF!$G$14*D$17/(1+$B19)^DCF!$G$20+cash-debt)/shares*1000</f>
        <v>115.21720292039477</v>
      </c>
      <c r="E19" s="38">
        <f>(SUMPRODUCT(DCF!$C$13:$G$13,1/(1+$B19)^DCF!$C$21:$G$21)+DCF!$G$14*E$17/(1+$B19)^DCF!$G$20+cash-debt)/shares*1000</f>
        <v>119.23277909022542</v>
      </c>
      <c r="F19" s="38">
        <f>(SUMPRODUCT(DCF!$C$13:$G$13,1/(1+$B19)^DCF!$C$21:$G$21)+DCF!$G$14*F$17/(1+$B19)^DCF!$G$20+cash-debt)/shares*1000</f>
        <v>123.24835526005604</v>
      </c>
      <c r="G19" s="38">
        <f>(SUMPRODUCT(DCF!$C$13:$G$13,1/(1+$B19)^DCF!$C$21:$G$21)+DCF!$G$14*G$17/(1+$B19)^DCF!$G$20+cash-debt)/shares*1000</f>
        <v>127.26393142988671</v>
      </c>
    </row>
    <row r="20" spans="1:7" x14ac:dyDescent="0.45">
      <c r="B20" s="32">
        <f>wacc_calc</f>
        <v>9.2299999999999993E-2</v>
      </c>
      <c r="C20" s="38">
        <f>(SUMPRODUCT(DCF!$C$13:$G$13,1/(1+$B20)^DCF!$C$21:$G$21)+DCF!$G$14*C$17/(1+$B20)^DCF!$G$20+cash-debt)/shares*1000</f>
        <v>109.3029126007209</v>
      </c>
      <c r="D20" s="38">
        <f>(SUMPRODUCT(DCF!$C$13:$G$13,1/(1+$B20)^DCF!$C$21:$G$21)+DCF!$G$14*D$17/(1+$B20)^DCF!$G$20+cash-debt)/shares*1000</f>
        <v>113.22741989090137</v>
      </c>
      <c r="E20" s="39">
        <f>(SUMPRODUCT(DCF!$C$13:$G$13,1/(1+$B20)^DCF!$C$21:$G$21)+DCF!$G$14*E$17/(1+$B20)^DCF!$G$20+cash-debt)/shares*1000</f>
        <v>117.15192718108187</v>
      </c>
      <c r="F20" s="38">
        <f>(SUMPRODUCT(DCF!$C$13:$G$13,1/(1+$B20)^DCF!$C$21:$G$21)+DCF!$G$14*F$17/(1+$B20)^DCF!$G$20+cash-debt)/shares*1000</f>
        <v>121.07643447126236</v>
      </c>
      <c r="G20" s="38">
        <f>(SUMPRODUCT(DCF!$C$13:$G$13,1/(1+$B20)^DCF!$C$21:$G$21)+DCF!$G$14*G$17/(1+$B20)^DCF!$G$20+cash-debt)/shares*1000</f>
        <v>125.00094176144286</v>
      </c>
    </row>
    <row r="21" spans="1:7" x14ac:dyDescent="0.45">
      <c r="B21" s="32">
        <f>wacc_calc+sens_wacc_step</f>
        <v>9.7299999999999998E-2</v>
      </c>
      <c r="C21" s="38">
        <f>(SUMPRODUCT(DCF!$C$13:$G$13,1/(1+$B21)^DCF!$C$21:$G$21)+DCF!$G$14*C$17/(1+$B21)^DCF!$G$20+cash-debt)/shares*1000</f>
        <v>107.45289885633757</v>
      </c>
      <c r="D21" s="38">
        <f>(SUMPRODUCT(DCF!$C$13:$G$13,1/(1+$B21)^DCF!$C$21:$G$21)+DCF!$G$14*D$17/(1+$B21)^DCF!$G$20+cash-debt)/shares*1000</f>
        <v>111.28880447054378</v>
      </c>
      <c r="E21" s="38">
        <f>(SUMPRODUCT(DCF!$C$13:$G$13,1/(1+$B21)^DCF!$C$21:$G$21)+DCF!$G$14*E$17/(1+$B21)^DCF!$G$20+cash-debt)/shares*1000</f>
        <v>115.12471008474998</v>
      </c>
      <c r="F21" s="38">
        <f>(SUMPRODUCT(DCF!$C$13:$G$13,1/(1+$B21)^DCF!$C$21:$G$21)+DCF!$G$14*F$17/(1+$B21)^DCF!$G$20+cash-debt)/shares*1000</f>
        <v>118.96061569895616</v>
      </c>
      <c r="G21" s="38">
        <f>(SUMPRODUCT(DCF!$C$13:$G$13,1/(1+$B21)^DCF!$C$21:$G$21)+DCF!$G$14*G$17/(1+$B21)^DCF!$G$20+cash-debt)/shares*1000</f>
        <v>122.79652131316236</v>
      </c>
    </row>
    <row r="22" spans="1:7" x14ac:dyDescent="0.45">
      <c r="B22" s="32">
        <f>wacc_calc+2*sens_wacc_step</f>
        <v>0.10229999999999999</v>
      </c>
      <c r="C22" s="38">
        <f>(SUMPRODUCT(DCF!$C$13:$G$13,1/(1+$B22)^DCF!$C$21:$G$21)+DCF!$G$14*C$17/(1+$B22)^DCF!$G$20+cash-debt)/shares*1000</f>
        <v>105.65009587390014</v>
      </c>
      <c r="D22" s="38">
        <f>(SUMPRODUCT(DCF!$C$13:$G$13,1/(1+$B22)^DCF!$C$21:$G$21)+DCF!$G$14*D$17/(1+$B22)^DCF!$G$20+cash-debt)/shares*1000</f>
        <v>109.3997893862103</v>
      </c>
      <c r="E22" s="38">
        <f>(SUMPRODUCT(DCF!$C$13:$G$13,1/(1+$B22)^DCF!$C$21:$G$21)+DCF!$G$14*E$17/(1+$B22)^DCF!$G$20+cash-debt)/shares*1000</f>
        <v>113.14948289852045</v>
      </c>
      <c r="F22" s="38">
        <f>(SUMPRODUCT(DCF!$C$13:$G$13,1/(1+$B22)^DCF!$C$21:$G$21)+DCF!$G$14*F$17/(1+$B22)^DCF!$G$20+cash-debt)/shares*1000</f>
        <v>116.89917641083059</v>
      </c>
      <c r="G22" s="38">
        <f>(SUMPRODUCT(DCF!$C$13:$G$13,1/(1+$B22)^DCF!$C$21:$G$21)+DCF!$G$14*G$17/(1+$B22)^DCF!$G$20+cash-debt)/shares*1000</f>
        <v>120.64886992314074</v>
      </c>
    </row>
    <row r="24" spans="1:7" x14ac:dyDescent="0.45">
      <c r="A24" s="2" t="s">
        <v>337</v>
      </c>
      <c r="B24" s="33">
        <f>E20-price_exit</f>
        <v>0</v>
      </c>
      <c r="C24" s="35" t="str">
        <f>IF(ABS(B24)&lt;0.000001,"PASS","FAIL")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5"/>
  <sheetViews>
    <sheetView workbookViewId="0"/>
  </sheetViews>
  <sheetFormatPr defaultRowHeight="14.25" x14ac:dyDescent="0.45"/>
  <cols>
    <col min="1" max="1" width="70.19921875" customWidth="1"/>
    <col min="2" max="2" width="18.46484375" customWidth="1"/>
    <col min="3" max="3" width="18" customWidth="1"/>
    <col min="4" max="4" width="18.46484375" customWidth="1"/>
    <col min="5" max="5" width="70" customWidth="1"/>
  </cols>
  <sheetData>
    <row r="1" spans="1:3" x14ac:dyDescent="0.45">
      <c r="A1" s="9" t="s">
        <v>338</v>
      </c>
    </row>
    <row r="3" spans="1:3" x14ac:dyDescent="0.45">
      <c r="A3" s="10" t="s">
        <v>2</v>
      </c>
      <c r="B3" s="10" t="s">
        <v>339</v>
      </c>
      <c r="C3" s="10" t="s">
        <v>340</v>
      </c>
    </row>
    <row r="4" spans="1:3" x14ac:dyDescent="0.45">
      <c r="A4" s="2" t="s">
        <v>341</v>
      </c>
      <c r="B4" s="16">
        <v>7.72</v>
      </c>
      <c r="C4" s="2" t="s">
        <v>342</v>
      </c>
    </row>
    <row r="5" spans="1:3" x14ac:dyDescent="0.45">
      <c r="A5" s="2" t="s">
        <v>343</v>
      </c>
      <c r="B5" s="16">
        <v>9.5</v>
      </c>
      <c r="C5" s="2" t="s">
        <v>344</v>
      </c>
    </row>
    <row r="6" spans="1:3" x14ac:dyDescent="0.45">
      <c r="A6" s="2" t="s">
        <v>345</v>
      </c>
      <c r="B6" s="16">
        <v>11.35</v>
      </c>
      <c r="C6" s="2" t="s">
        <v>346</v>
      </c>
    </row>
    <row r="7" spans="1:3" x14ac:dyDescent="0.45">
      <c r="A7" s="2" t="s">
        <v>347</v>
      </c>
      <c r="B7" s="16">
        <v>11.42</v>
      </c>
      <c r="C7" s="2" t="s">
        <v>348</v>
      </c>
    </row>
    <row r="8" spans="1:3" x14ac:dyDescent="0.45">
      <c r="A8" s="2" t="s">
        <v>349</v>
      </c>
      <c r="B8" s="16">
        <v>12.54</v>
      </c>
      <c r="C8" s="2" t="s">
        <v>346</v>
      </c>
    </row>
    <row r="9" spans="1:3" x14ac:dyDescent="0.45">
      <c r="A9" s="2" t="s">
        <v>350</v>
      </c>
      <c r="B9" s="16">
        <v>15.71</v>
      </c>
      <c r="C9" s="2" t="s">
        <v>346</v>
      </c>
    </row>
    <row r="11" spans="1:3" x14ac:dyDescent="0.45">
      <c r="A11" s="2" t="s">
        <v>351</v>
      </c>
      <c r="B11" s="37">
        <f>MIN(B4:B9)</f>
        <v>7.72</v>
      </c>
    </row>
    <row r="12" spans="1:3" x14ac:dyDescent="0.45">
      <c r="A12" s="2" t="s">
        <v>352</v>
      </c>
      <c r="B12" s="37">
        <f>QUARTILE(B4:B9,1)</f>
        <v>9.9625000000000004</v>
      </c>
    </row>
    <row r="13" spans="1:3" x14ac:dyDescent="0.45">
      <c r="A13" s="9" t="s">
        <v>353</v>
      </c>
      <c r="B13" s="41">
        <f>MEDIAN(B4:B9)</f>
        <v>11.385</v>
      </c>
    </row>
    <row r="14" spans="1:3" x14ac:dyDescent="0.45">
      <c r="A14" s="2" t="s">
        <v>354</v>
      </c>
      <c r="B14" s="37">
        <f>QUARTILE(B4:B9,3)</f>
        <v>12.26</v>
      </c>
    </row>
    <row r="15" spans="1:3" x14ac:dyDescent="0.45">
      <c r="A15" s="2" t="s">
        <v>355</v>
      </c>
      <c r="B15" s="37">
        <f>MAX(B4:B9)</f>
        <v>15.71</v>
      </c>
    </row>
    <row r="17" spans="1:5" x14ac:dyDescent="0.45">
      <c r="A17" s="9" t="s">
        <v>356</v>
      </c>
    </row>
    <row r="18" spans="1:5" x14ac:dyDescent="0.45">
      <c r="A18" s="10" t="s">
        <v>357</v>
      </c>
      <c r="B18" s="10" t="s">
        <v>352</v>
      </c>
      <c r="C18" s="10" t="s">
        <v>353</v>
      </c>
      <c r="D18" s="10" t="s">
        <v>354</v>
      </c>
      <c r="E18" s="10" t="s">
        <v>358</v>
      </c>
    </row>
    <row r="19" spans="1:5" x14ac:dyDescent="0.45">
      <c r="A19" s="2" t="s">
        <v>359</v>
      </c>
      <c r="B19" s="37">
        <f>B12</f>
        <v>9.9625000000000004</v>
      </c>
      <c r="C19" s="37">
        <f>B13</f>
        <v>11.385</v>
      </c>
      <c r="D19" s="37">
        <f>B14</f>
        <v>12.26</v>
      </c>
      <c r="E19" s="2" t="s">
        <v>360</v>
      </c>
    </row>
    <row r="20" spans="1:5" x14ac:dyDescent="0.45">
      <c r="A20" s="2" t="s">
        <v>361</v>
      </c>
      <c r="B20" s="24">
        <f>ltm_ebitda</f>
        <v>1326979</v>
      </c>
      <c r="C20" s="24">
        <f>ltm_ebitda</f>
        <v>1326979</v>
      </c>
      <c r="D20" s="24">
        <f>ltm_ebitda</f>
        <v>1326979</v>
      </c>
      <c r="E20" s="2" t="s">
        <v>362</v>
      </c>
    </row>
    <row r="21" spans="1:5" x14ac:dyDescent="0.45">
      <c r="A21" s="2" t="s">
        <v>363</v>
      </c>
      <c r="B21" s="20">
        <f>B19*B20</f>
        <v>13220028.2875</v>
      </c>
      <c r="C21" s="20">
        <f>C19*C20</f>
        <v>15107655.914999999</v>
      </c>
      <c r="D21" s="20">
        <f>D19*D20</f>
        <v>16268762.539999999</v>
      </c>
      <c r="E21" s="2" t="s">
        <v>364</v>
      </c>
    </row>
    <row r="22" spans="1:5" x14ac:dyDescent="0.45">
      <c r="A22" s="2" t="s">
        <v>279</v>
      </c>
      <c r="B22" s="24">
        <f>cash</f>
        <v>1570421</v>
      </c>
      <c r="C22" s="24">
        <f>cash</f>
        <v>1570421</v>
      </c>
      <c r="D22" s="24">
        <f>cash</f>
        <v>1570421</v>
      </c>
      <c r="E22" s="2" t="s">
        <v>280</v>
      </c>
    </row>
    <row r="23" spans="1:5" x14ac:dyDescent="0.45">
      <c r="A23" s="2" t="s">
        <v>365</v>
      </c>
      <c r="B23" s="24">
        <f>debt</f>
        <v>0</v>
      </c>
      <c r="C23" s="24">
        <f>debt</f>
        <v>0</v>
      </c>
      <c r="D23" s="24">
        <f>debt</f>
        <v>0</v>
      </c>
      <c r="E23" s="2" t="s">
        <v>366</v>
      </c>
    </row>
    <row r="24" spans="1:5" x14ac:dyDescent="0.45">
      <c r="A24" s="2" t="s">
        <v>367</v>
      </c>
      <c r="B24" s="20">
        <f>B21+B22-B23</f>
        <v>14790449.2875</v>
      </c>
      <c r="C24" s="20">
        <f>C21+C22-C23</f>
        <v>16678076.914999999</v>
      </c>
      <c r="D24" s="20">
        <f>D21+D22-D23</f>
        <v>17839183.539999999</v>
      </c>
      <c r="E24" s="2" t="s">
        <v>368</v>
      </c>
    </row>
    <row r="25" spans="1:5" x14ac:dyDescent="0.45">
      <c r="A25" s="2" t="s">
        <v>6</v>
      </c>
      <c r="B25" s="5">
        <f>shares</f>
        <v>136710227</v>
      </c>
      <c r="C25" s="5">
        <f>shares</f>
        <v>136710227</v>
      </c>
      <c r="D25" s="5">
        <f>shares</f>
        <v>136710227</v>
      </c>
      <c r="E25" s="2" t="s">
        <v>218</v>
      </c>
    </row>
    <row r="26" spans="1:5" x14ac:dyDescent="0.45">
      <c r="A26" s="9" t="s">
        <v>369</v>
      </c>
      <c r="B26" s="30">
        <f>B24*1000/B25</f>
        <v>108.18831635397694</v>
      </c>
      <c r="C26" s="30">
        <f>C24*1000/C25</f>
        <v>121.99582489903992</v>
      </c>
      <c r="D26" s="30">
        <f>D24*1000/D25</f>
        <v>130.48901996190818</v>
      </c>
      <c r="E26" s="2" t="s">
        <v>370</v>
      </c>
    </row>
    <row r="28" spans="1:5" x14ac:dyDescent="0.45">
      <c r="A28" s="2" t="s">
        <v>371</v>
      </c>
      <c r="B28" s="36">
        <f>(price*shares/1000+debt-cash)/ltm_ebitda</f>
        <v>7.0821320549986098</v>
      </c>
      <c r="E28" s="2" t="s">
        <v>372</v>
      </c>
    </row>
    <row r="29" spans="1:5" x14ac:dyDescent="0.45">
      <c r="A29" s="2" t="s">
        <v>373</v>
      </c>
      <c r="B29" s="37">
        <f>MEDIAN(B4,B6,B7,B8)</f>
        <v>11.385</v>
      </c>
      <c r="E29" s="2" t="s">
        <v>374</v>
      </c>
    </row>
    <row r="30" spans="1:5" x14ac:dyDescent="0.45">
      <c r="A30" s="2" t="s">
        <v>375</v>
      </c>
      <c r="B30" s="4">
        <f>(SUMPRODUCT(DCF!$C$13:$G$13,1/(1+wacc_calc)^DCF!$C$21:$G$21)+DCF!$G$14*$B$28/(1+wacc_calc)^DCF!$G$20+cash-debt)/shares*1000</f>
        <v>98.174046427378499</v>
      </c>
      <c r="E30" s="2" t="s">
        <v>376</v>
      </c>
    </row>
    <row r="31" spans="1:5" x14ac:dyDescent="0.45">
      <c r="A31" s="2" t="s">
        <v>377</v>
      </c>
      <c r="B31" s="16">
        <v>7.39</v>
      </c>
      <c r="E31" s="2" t="s">
        <v>378</v>
      </c>
    </row>
    <row r="32" spans="1:5" x14ac:dyDescent="0.45">
      <c r="A32" s="2" t="s">
        <v>379</v>
      </c>
      <c r="B32" s="16">
        <v>7.62</v>
      </c>
      <c r="E32" s="2" t="s">
        <v>380</v>
      </c>
    </row>
    <row r="33" spans="1:5" x14ac:dyDescent="0.45">
      <c r="A33" s="2" t="s">
        <v>381</v>
      </c>
      <c r="B33" s="16">
        <v>13.49</v>
      </c>
      <c r="E33" s="2" t="s">
        <v>380</v>
      </c>
    </row>
    <row r="35" spans="1:5" x14ac:dyDescent="0.45">
      <c r="A35" s="9" t="s">
        <v>382</v>
      </c>
    </row>
    <row r="36" spans="1:5" x14ac:dyDescent="0.45">
      <c r="A36" s="10" t="s">
        <v>383</v>
      </c>
      <c r="B36" s="10" t="s">
        <v>384</v>
      </c>
      <c r="C36" s="10" t="s">
        <v>385</v>
      </c>
      <c r="D36" s="10" t="s">
        <v>358</v>
      </c>
    </row>
    <row r="37" spans="1:5" x14ac:dyDescent="0.45">
      <c r="A37" s="2" t="s">
        <v>386</v>
      </c>
      <c r="B37" s="4">
        <f>MIN(Sensitivity!$D$8:$F$10)</f>
        <v>117.06912534511707</v>
      </c>
      <c r="C37" s="4">
        <f>MAX(Sensitivity!$D$8:$F$10)</f>
        <v>149.15774351235447</v>
      </c>
      <c r="D37" s="2" t="s">
        <v>387</v>
      </c>
    </row>
    <row r="38" spans="1:5" x14ac:dyDescent="0.45">
      <c r="A38" s="2" t="s">
        <v>388</v>
      </c>
      <c r="B38" s="4">
        <f>MIN(Sensitivity!$D$19:$F$21)</f>
        <v>111.28880447054378</v>
      </c>
      <c r="C38" s="4">
        <f>MAX(Sensitivity!$D$19:$F$21)</f>
        <v>123.24835526005604</v>
      </c>
      <c r="D38" s="2" t="s">
        <v>389</v>
      </c>
    </row>
    <row r="39" spans="1:5" x14ac:dyDescent="0.45">
      <c r="A39" s="2" t="s">
        <v>390</v>
      </c>
      <c r="B39" s="4">
        <f>MC!B10</f>
        <v>111.565099057952</v>
      </c>
      <c r="C39" s="4">
        <f>MC!B14</f>
        <v>144.29901009981239</v>
      </c>
      <c r="D39" s="2" t="s">
        <v>391</v>
      </c>
    </row>
    <row r="40" spans="1:5" x14ac:dyDescent="0.45">
      <c r="A40" s="2" t="s">
        <v>392</v>
      </c>
      <c r="B40" s="42">
        <f>B26</f>
        <v>108.18831635397694</v>
      </c>
      <c r="C40" s="42">
        <f>D26</f>
        <v>130.48901996190818</v>
      </c>
      <c r="D40" s="2" t="s">
        <v>393</v>
      </c>
    </row>
    <row r="41" spans="1:5" x14ac:dyDescent="0.45">
      <c r="A41" s="2" t="s">
        <v>394</v>
      </c>
      <c r="B41" s="12">
        <v>70</v>
      </c>
      <c r="C41" s="12">
        <v>184</v>
      </c>
      <c r="D41" s="2" t="s">
        <v>395</v>
      </c>
    </row>
    <row r="42" spans="1:5" x14ac:dyDescent="0.45">
      <c r="A42" s="2" t="s">
        <v>396</v>
      </c>
      <c r="B42" s="12">
        <v>77.36</v>
      </c>
      <c r="C42" s="12">
        <v>122.29</v>
      </c>
      <c r="D42" s="2" t="s">
        <v>397</v>
      </c>
    </row>
    <row r="44" spans="1:5" x14ac:dyDescent="0.45">
      <c r="A44" s="2" t="s">
        <v>398</v>
      </c>
      <c r="B44" s="4">
        <f>price_perp</f>
        <v>130.74592045178082</v>
      </c>
      <c r="D44" s="2" t="s">
        <v>399</v>
      </c>
    </row>
    <row r="45" spans="1:5" x14ac:dyDescent="0.45">
      <c r="A45" s="2" t="s">
        <v>400</v>
      </c>
      <c r="B45" s="4">
        <f>price</f>
        <v>80.23</v>
      </c>
      <c r="D45" s="2" t="s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4"/>
  <sheetViews>
    <sheetView workbookViewId="0"/>
  </sheetViews>
  <sheetFormatPr defaultRowHeight="14.25" x14ac:dyDescent="0.45"/>
  <cols>
    <col min="1" max="1" width="65.796875" customWidth="1"/>
    <col min="2" max="2" width="16" customWidth="1"/>
    <col min="3" max="3" width="46" customWidth="1"/>
  </cols>
  <sheetData>
    <row r="1" spans="1:3" x14ac:dyDescent="0.45">
      <c r="A1" s="9" t="s">
        <v>401</v>
      </c>
    </row>
    <row r="3" spans="1:3" x14ac:dyDescent="0.45">
      <c r="A3" s="10" t="s">
        <v>402</v>
      </c>
      <c r="B3" s="10" t="s">
        <v>18</v>
      </c>
      <c r="C3" s="10" t="s">
        <v>20</v>
      </c>
    </row>
    <row r="4" spans="1:3" x14ac:dyDescent="0.45">
      <c r="A4" s="9" t="s">
        <v>403</v>
      </c>
    </row>
    <row r="5" spans="1:3" x14ac:dyDescent="0.45">
      <c r="A5" s="2" t="s">
        <v>404</v>
      </c>
      <c r="B5" s="13">
        <v>10000</v>
      </c>
      <c r="C5" s="2" t="s">
        <v>405</v>
      </c>
    </row>
    <row r="6" spans="1:3" x14ac:dyDescent="0.45">
      <c r="A6" s="2" t="s">
        <v>406</v>
      </c>
      <c r="B6" s="43">
        <v>42</v>
      </c>
      <c r="C6" s="2" t="s">
        <v>405</v>
      </c>
    </row>
    <row r="7" spans="1:3" x14ac:dyDescent="0.45">
      <c r="A7" s="2" t="s">
        <v>407</v>
      </c>
      <c r="B7" s="12">
        <v>127.3347259952882</v>
      </c>
      <c r="C7" s="2" t="s">
        <v>405</v>
      </c>
    </row>
    <row r="8" spans="1:3" x14ac:dyDescent="0.45">
      <c r="A8" s="2" t="s">
        <v>408</v>
      </c>
      <c r="B8" s="12">
        <v>12.896177908834289</v>
      </c>
      <c r="C8" s="2" t="s">
        <v>405</v>
      </c>
    </row>
    <row r="9" spans="1:3" x14ac:dyDescent="0.45">
      <c r="A9" s="2" t="s">
        <v>409</v>
      </c>
      <c r="B9" s="12">
        <v>107.89590957991619</v>
      </c>
      <c r="C9" s="2" t="s">
        <v>405</v>
      </c>
    </row>
    <row r="10" spans="1:3" x14ac:dyDescent="0.45">
      <c r="A10" s="2" t="s">
        <v>410</v>
      </c>
      <c r="B10" s="12">
        <v>111.565099057952</v>
      </c>
      <c r="C10" s="2" t="s">
        <v>405</v>
      </c>
    </row>
    <row r="11" spans="1:3" x14ac:dyDescent="0.45">
      <c r="A11" s="2" t="s">
        <v>411</v>
      </c>
      <c r="B11" s="12">
        <v>118.17045587342329</v>
      </c>
      <c r="C11" s="2" t="s">
        <v>405</v>
      </c>
    </row>
    <row r="12" spans="1:3" x14ac:dyDescent="0.45">
      <c r="A12" s="2" t="s">
        <v>412</v>
      </c>
      <c r="B12" s="12">
        <v>126.4032625318999</v>
      </c>
      <c r="C12" s="2" t="s">
        <v>405</v>
      </c>
    </row>
    <row r="13" spans="1:3" x14ac:dyDescent="0.45">
      <c r="A13" s="2" t="s">
        <v>413</v>
      </c>
      <c r="B13" s="12">
        <v>135.50980136110789</v>
      </c>
      <c r="C13" s="2" t="s">
        <v>405</v>
      </c>
    </row>
    <row r="14" spans="1:3" x14ac:dyDescent="0.45">
      <c r="A14" s="2" t="s">
        <v>414</v>
      </c>
      <c r="B14" s="12">
        <v>144.29901009981239</v>
      </c>
      <c r="C14" s="2" t="s">
        <v>405</v>
      </c>
    </row>
    <row r="15" spans="1:3" x14ac:dyDescent="0.45">
      <c r="A15" s="2" t="s">
        <v>415</v>
      </c>
      <c r="B15" s="12">
        <v>150.29753438202161</v>
      </c>
      <c r="C15" s="2" t="s">
        <v>405</v>
      </c>
    </row>
    <row r="16" spans="1:3" x14ac:dyDescent="0.45">
      <c r="A16" s="2" t="s">
        <v>416</v>
      </c>
      <c r="B16" s="12">
        <v>90.407313432453392</v>
      </c>
      <c r="C16" s="2" t="s">
        <v>405</v>
      </c>
    </row>
    <row r="17" spans="1:3" x14ac:dyDescent="0.45">
      <c r="A17" s="2" t="s">
        <v>417</v>
      </c>
      <c r="B17" s="12">
        <v>193.35152519689871</v>
      </c>
      <c r="C17" s="2" t="s">
        <v>405</v>
      </c>
    </row>
    <row r="18" spans="1:3" x14ac:dyDescent="0.45">
      <c r="A18" s="2" t="s">
        <v>418</v>
      </c>
      <c r="B18" s="12">
        <v>82.530462904833698</v>
      </c>
      <c r="C18" s="2" t="s">
        <v>405</v>
      </c>
    </row>
    <row r="19" spans="1:3" x14ac:dyDescent="0.45">
      <c r="A19" s="2" t="s">
        <v>419</v>
      </c>
      <c r="B19" s="15">
        <v>0.1053246753840051</v>
      </c>
      <c r="C19" s="2" t="s">
        <v>405</v>
      </c>
    </row>
    <row r="20" spans="1:3" x14ac:dyDescent="0.45">
      <c r="A20" s="2" t="s">
        <v>420</v>
      </c>
      <c r="B20" s="44">
        <v>2.6049350768010182</v>
      </c>
      <c r="C20" s="2" t="s">
        <v>405</v>
      </c>
    </row>
    <row r="21" spans="1:3" x14ac:dyDescent="0.45">
      <c r="A21" s="2" t="s">
        <v>421</v>
      </c>
      <c r="B21" s="45">
        <v>1</v>
      </c>
      <c r="C21" s="2" t="s">
        <v>405</v>
      </c>
    </row>
    <row r="22" spans="1:3" x14ac:dyDescent="0.45">
      <c r="A22" s="2" t="s">
        <v>422</v>
      </c>
      <c r="B22" s="12">
        <v>80.23</v>
      </c>
      <c r="C22" s="2" t="s">
        <v>405</v>
      </c>
    </row>
    <row r="24" spans="1:3" x14ac:dyDescent="0.45">
      <c r="A24" s="9" t="s">
        <v>423</v>
      </c>
    </row>
    <row r="25" spans="1:3" x14ac:dyDescent="0.45">
      <c r="A25" s="2" t="s">
        <v>424</v>
      </c>
      <c r="B25" s="13">
        <v>0</v>
      </c>
      <c r="C25" s="2" t="s">
        <v>405</v>
      </c>
    </row>
    <row r="26" spans="1:3" x14ac:dyDescent="0.45">
      <c r="A26" s="2" t="s">
        <v>425</v>
      </c>
      <c r="B26" s="13">
        <v>0</v>
      </c>
      <c r="C26" s="2" t="s">
        <v>405</v>
      </c>
    </row>
    <row r="27" spans="1:3" x14ac:dyDescent="0.45">
      <c r="A27" s="2" t="s">
        <v>426</v>
      </c>
      <c r="B27" s="43">
        <v>0</v>
      </c>
      <c r="C27" s="2" t="s">
        <v>405</v>
      </c>
    </row>
    <row r="29" spans="1:3" x14ac:dyDescent="0.45">
      <c r="A29" s="9" t="s">
        <v>427</v>
      </c>
    </row>
    <row r="30" spans="1:3" x14ac:dyDescent="0.45">
      <c r="A30" s="2" t="s">
        <v>428</v>
      </c>
      <c r="B30" s="18">
        <v>-0.62554100000000001</v>
      </c>
      <c r="C30" s="2" t="s">
        <v>405</v>
      </c>
    </row>
    <row r="31" spans="1:3" x14ac:dyDescent="0.45">
      <c r="A31" s="2" t="s">
        <v>429</v>
      </c>
      <c r="B31" s="18">
        <v>0.54071999999999998</v>
      </c>
      <c r="C31" s="2" t="s">
        <v>405</v>
      </c>
    </row>
    <row r="32" spans="1:3" x14ac:dyDescent="0.45">
      <c r="A32" s="2" t="s">
        <v>430</v>
      </c>
      <c r="B32" s="18">
        <v>0.40074500000000002</v>
      </c>
      <c r="C32" s="2" t="s">
        <v>405</v>
      </c>
    </row>
    <row r="33" spans="1:3" x14ac:dyDescent="0.45">
      <c r="A33" s="2" t="s">
        <v>431</v>
      </c>
      <c r="B33" s="18">
        <v>0.31140600000000002</v>
      </c>
      <c r="C33" s="2" t="s">
        <v>405</v>
      </c>
    </row>
    <row r="35" spans="1:3" x14ac:dyDescent="0.45">
      <c r="A35" s="9" t="s">
        <v>432</v>
      </c>
    </row>
    <row r="36" spans="1:3" x14ac:dyDescent="0.45">
      <c r="A36" s="2" t="s">
        <v>433</v>
      </c>
      <c r="B36" s="12">
        <v>130.74592045178079</v>
      </c>
      <c r="C36" s="2" t="s">
        <v>405</v>
      </c>
    </row>
    <row r="37" spans="1:3" x14ac:dyDescent="0.45">
      <c r="A37" s="2" t="s">
        <v>434</v>
      </c>
      <c r="B37" s="12">
        <v>130.74592045178079</v>
      </c>
      <c r="C37" s="2" t="s">
        <v>405</v>
      </c>
    </row>
    <row r="38" spans="1:3" x14ac:dyDescent="0.45">
      <c r="A38" s="2" t="s">
        <v>435</v>
      </c>
      <c r="B38" s="46">
        <v>0</v>
      </c>
      <c r="C38" s="2" t="s">
        <v>405</v>
      </c>
    </row>
    <row r="39" spans="1:3" x14ac:dyDescent="0.45">
      <c r="A39" s="2" t="s">
        <v>436</v>
      </c>
      <c r="B39" s="15">
        <v>9.2299999999999993E-2</v>
      </c>
      <c r="C39" s="2" t="s">
        <v>405</v>
      </c>
    </row>
    <row r="41" spans="1:3" x14ac:dyDescent="0.45">
      <c r="A41" s="9" t="s">
        <v>437</v>
      </c>
    </row>
    <row r="42" spans="1:3" x14ac:dyDescent="0.45">
      <c r="A42" s="2" t="s">
        <v>438</v>
      </c>
      <c r="B42" s="4">
        <f>price_perp</f>
        <v>130.74592045178082</v>
      </c>
    </row>
    <row r="43" spans="1:3" x14ac:dyDescent="0.45">
      <c r="A43" s="2" t="s">
        <v>439</v>
      </c>
      <c r="B43" s="47">
        <f>ABS(B36-B42)</f>
        <v>2.8421709430404007E-14</v>
      </c>
      <c r="C43" s="35" t="str">
        <f>IF(B43&lt;0.005,"PASS","FAIL")</f>
        <v>PASS</v>
      </c>
    </row>
    <row r="44" spans="1:3" x14ac:dyDescent="0.45">
      <c r="A44" s="2" t="s">
        <v>440</v>
      </c>
      <c r="B44" s="33">
        <f>ABS(B22-price)</f>
        <v>0</v>
      </c>
      <c r="C44" s="35" t="str">
        <f>IF(B44&lt;0.005,"PASS","FAIL")</f>
        <v>PASS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122</vt:i4>
      </vt:variant>
    </vt:vector>
  </HeadingPairs>
  <TitlesOfParts>
    <vt:vector size="130" baseType="lpstr">
      <vt:lpstr>Cover</vt:lpstr>
      <vt:lpstr>Assumptions</vt:lpstr>
      <vt:lpstr>Historical</vt:lpstr>
      <vt:lpstr>WACC</vt:lpstr>
      <vt:lpstr>DCF</vt:lpstr>
      <vt:lpstr>Sensitivity</vt:lpstr>
      <vt:lpstr>Comps</vt:lpstr>
      <vt:lpstr>MC</vt:lpstr>
      <vt:lpstr>base_year</vt:lpstr>
      <vt:lpstr>beta</vt:lpstr>
      <vt:lpstr>beta_2y_blume</vt:lpstr>
      <vt:lpstr>beta_2y_raw</vt:lpstr>
      <vt:lpstr>beta_5y_blume</vt:lpstr>
      <vt:lpstr>beta_5y_raw</vt:lpstr>
      <vt:lpstr>beta_operating</vt:lpstr>
      <vt:lpstr>beta_regression_crosscheck</vt:lpstr>
      <vt:lpstr>capex_pct</vt:lpstr>
      <vt:lpstr>capex_pct_rev</vt:lpstr>
      <vt:lpstr>cash</vt:lpstr>
      <vt:lpstr>company</vt:lpstr>
      <vt:lpstr>comps</vt:lpstr>
      <vt:lpstr>comps_med</vt:lpstr>
      <vt:lpstr>comps_med_ex_ifrs</vt:lpstr>
      <vt:lpstr>comps_q1</vt:lpstr>
      <vt:lpstr>comps_q3</vt:lpstr>
      <vt:lpstr>cost_debt_pretax</vt:lpstr>
      <vt:lpstr>cost_equity</vt:lpstr>
      <vt:lpstr>cross_check_flags</vt:lpstr>
      <vt:lpstr>da_pct</vt:lpstr>
      <vt:lpstr>da_pct_rev</vt:lpstr>
      <vt:lpstr>debt</vt:lpstr>
      <vt:lpstr>deck_ev_ebitda</vt:lpstr>
      <vt:lpstr>deck_ev_ebitda_10y_median_gurufocus</vt:lpstr>
      <vt:lpstr>deck_ev_ebitda_gurufocus</vt:lpstr>
      <vt:lpstr>deck_ev_ebitda_stockanalysis</vt:lpstr>
      <vt:lpstr>ebit_margin</vt:lpstr>
      <vt:lpstr>erp</vt:lpstr>
      <vt:lpstr>ev_exit</vt:lpstr>
      <vt:lpstr>ev_perp</vt:lpstr>
      <vt:lpstr>exit_mult</vt:lpstr>
      <vt:lpstr>exit_multiple_ev_ebitda</vt:lpstr>
      <vt:lpstr>ff_base_dcf</vt:lpstr>
      <vt:lpstr>ff_comps_hi</vt:lpstr>
      <vt:lpstr>ff_comps_lo</vt:lpstr>
      <vt:lpstr>ff_dcf_exit_hi</vt:lpstr>
      <vt:lpstr>ff_dcf_exit_lo</vt:lpstr>
      <vt:lpstr>ff_dcf_perp_hi</vt:lpstr>
      <vt:lpstr>ff_dcf_perp_lo</vt:lpstr>
      <vt:lpstr>ff_mc_hi</vt:lpstr>
      <vt:lpstr>ff_mc_lo</vt:lpstr>
      <vt:lpstr>ff_price</vt:lpstr>
      <vt:lpstr>ff_pt_hi</vt:lpstr>
      <vt:lpstr>ff_pt_lo</vt:lpstr>
      <vt:lpstr>ff_w52_hi</vt:lpstr>
      <vt:lpstr>ff_w52_lo</vt:lpstr>
      <vt:lpstr>fye</vt:lpstr>
      <vt:lpstr>g_exit_at_ronic</vt:lpstr>
      <vt:lpstr>g_fy27</vt:lpstr>
      <vt:lpstr>g_fy28</vt:lpstr>
      <vt:lpstr>g_fy29</vt:lpstr>
      <vt:lpstr>g_fy30</vt:lpstr>
      <vt:lpstr>g_fy31</vt:lpstr>
      <vt:lpstr>implied_ev_fy27_ebitda</vt:lpstr>
      <vt:lpstr>implied_ev_ltm_ebitda</vt:lpstr>
      <vt:lpstr>implied_margin</vt:lpstr>
      <vt:lpstr>implied_margin_probe_hi</vt:lpstr>
      <vt:lpstr>implied_margin_probe_lo</vt:lpstr>
      <vt:lpstr>integrity_summary</vt:lpstr>
      <vt:lpstr>kd_pretax</vt:lpstr>
      <vt:lpstr>ke_calc</vt:lpstr>
      <vt:lpstr>ke_operating</vt:lpstr>
      <vt:lpstr>lease_liabilities_total</vt:lpstr>
      <vt:lpstr>ltm_da</vt:lpstr>
      <vt:lpstr>ltm_ebit</vt:lpstr>
      <vt:lpstr>ltm_ebitda</vt:lpstr>
      <vt:lpstr>mc_g_tri</vt:lpstr>
      <vt:lpstr>mc_growth_tri</vt:lpstr>
      <vt:lpstr>mc_guardrail_wacc_minus_g_min</vt:lpstr>
      <vt:lpstr>mc_margin_tri</vt:lpstr>
      <vt:lpstr>mc_price_check</vt:lpstr>
      <vt:lpstr>mc_price_diff</vt:lpstr>
      <vt:lpstr>mc_recon_check</vt:lpstr>
      <vt:lpstr>mc_recon_diff</vt:lpstr>
      <vt:lpstr>mc_runs</vt:lpstr>
      <vt:lpstr>mc_seed</vt:lpstr>
      <vt:lpstr>mc_wacc_normal</vt:lpstr>
      <vt:lpstr>nwc_pct</vt:lpstr>
      <vt:lpstr>nwc_pct_rev</vt:lpstr>
      <vt:lpstr>price</vt:lpstr>
      <vt:lpstr>price_date</vt:lpstr>
      <vt:lpstr>price_exit</vt:lpstr>
      <vt:lpstr>price_perp</vt:lpstr>
      <vt:lpstr>px_at_implied_margin</vt:lpstr>
      <vt:lpstr>px_at_ke_operating</vt:lpstr>
      <vt:lpstr>px_at_ronic</vt:lpstr>
      <vt:lpstr>px_comps_med</vt:lpstr>
      <vt:lpstr>px_comps_q1</vt:lpstr>
      <vt:lpstr>px_comps_q3</vt:lpstr>
      <vt:lpstr>px_exit_at_current_mult</vt:lpstr>
      <vt:lpstr>rev_growth_fy27</vt:lpstr>
      <vt:lpstr>rev_growth_fy28</vt:lpstr>
      <vt:lpstr>rev_growth_fy29</vt:lpstr>
      <vt:lpstr>rev_growth_fy30</vt:lpstr>
      <vt:lpstr>rev_growth_fy31</vt:lpstr>
      <vt:lpstr>rf</vt:lpstr>
      <vt:lpstr>roic_fy26</vt:lpstr>
      <vt:lpstr>roic_fy26_ex_leases</vt:lpstr>
      <vt:lpstr>ronic</vt:lpstr>
      <vt:lpstr>ronic_implied</vt:lpstr>
      <vt:lpstr>sens_check_exit</vt:lpstr>
      <vt:lpstr>sens_check_perp</vt:lpstr>
      <vt:lpstr>sens_diff_exit</vt:lpstr>
      <vt:lpstr>sens_diff_perp</vt:lpstr>
      <vt:lpstr>sens_g_step</vt:lpstr>
      <vt:lpstr>sens_mult_step</vt:lpstr>
      <vt:lpstr>sens_wacc_step</vt:lpstr>
      <vt:lpstr>shares</vt:lpstr>
      <vt:lpstr>shares_diluted_current</vt:lpstr>
      <vt:lpstr>tax</vt:lpstr>
      <vt:lpstr>tax_rate</vt:lpstr>
      <vt:lpstr>terminal_growth</vt:lpstr>
      <vt:lpstr>tg</vt:lpstr>
      <vt:lpstr>ticker</vt:lpstr>
      <vt:lpstr>upside_exit</vt:lpstr>
      <vt:lpstr>upside_perp</vt:lpstr>
      <vt:lpstr>wacc</vt:lpstr>
      <vt:lpstr>wacc_calc</vt:lpstr>
      <vt:lpstr>wacc_operating</vt:lpstr>
      <vt:lpstr>we_input</vt:lpstr>
      <vt:lpstr>weight_equity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DECK DCF</dc:title>
  <dc:creator>Salman Koshy</dc:creator>
  <cp:lastModifiedBy>Salman Koshy</cp:lastModifiedBy>
  <dcterms:created xsi:type="dcterms:W3CDTF">2026-09-23T01:45:33Z</dcterms:created>
  <dcterms:modified xsi:type="dcterms:W3CDTF">2026-09-23T01:45:34Z</dcterms:modified>
</cp:coreProperties>
</file>